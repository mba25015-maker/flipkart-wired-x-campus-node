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 Read Me" sheetId="1" state="visible" r:id="rId1"/>
    <sheet xmlns:r="http://schemas.openxmlformats.org/officeDocument/2006/relationships" name="1 Inputs" sheetId="2" state="visible" r:id="rId2"/>
    <sheet xmlns:r="http://schemas.openxmlformats.org/officeDocument/2006/relationships" name="2 Fulfilment" sheetId="3" state="visible" r:id="rId3"/>
    <sheet xmlns:r="http://schemas.openxmlformats.org/officeDocument/2006/relationships" name="3 Unit Economics" sheetId="4" state="visible" r:id="rId4"/>
    <sheet xmlns:r="http://schemas.openxmlformats.org/officeDocument/2006/relationships" name="4 Returns" sheetId="5" state="visible" r:id="rId5"/>
    <sheet xmlns:r="http://schemas.openxmlformats.org/officeDocument/2006/relationships" name="5 Dead Zone" sheetId="6" state="visible" r:id="rId6"/>
    <sheet xmlns:r="http://schemas.openxmlformats.org/officeDocument/2006/relationships" name="6 Risks" sheetId="7" state="visible" r:id="rId7"/>
    <sheet xmlns:r="http://schemas.openxmlformats.org/officeDocument/2006/relationships" name="7 District Screen" sheetId="8" state="visible" r:id="rId8"/>
    <sheet xmlns:r="http://schemas.openxmlformats.org/officeDocument/2006/relationships" name="8 Verification" sheetId="9" state="visible" r:id="rId9"/>
    <sheet xmlns:r="http://schemas.openxmlformats.org/officeDocument/2006/relationships" name="9 PG Adjacency" sheetId="10" state="visible" r:id="rId10"/>
    <sheet xmlns:r="http://schemas.openxmlformats.org/officeDocument/2006/relationships" name="10 Assortment" sheetId="11" state="visible" r:id="rId11"/>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6">
    <font>
      <name val="Calibri"/>
      <family val="2"/>
      <color theme="1"/>
      <sz val="11"/>
      <scheme val="minor"/>
    </font>
    <font>
      <name val="Calibri"/>
      <b val="1"/>
      <color rgb="FF0B1F3A"/>
      <sz val="14"/>
    </font>
    <font>
      <name val="Calibri"/>
      <i val="1"/>
      <color rgb="FF5A6785"/>
      <sz val="9"/>
    </font>
    <font>
      <name val="Calibri"/>
      <b val="1"/>
      <color rgb="FF0B1F3A"/>
      <sz val="10"/>
    </font>
    <font>
      <name val="Calibri"/>
      <b val="1"/>
      <color rgb="FFFFFFFF"/>
      <sz val="10"/>
    </font>
    <font>
      <name val="Calibri"/>
      <color rgb="FF0B1F3A"/>
      <sz val="10"/>
    </font>
  </fonts>
  <fills count="7">
    <fill>
      <patternFill/>
    </fill>
    <fill>
      <patternFill patternType="gray125"/>
    </fill>
    <fill>
      <patternFill patternType="solid">
        <fgColor rgb="FF0B1F3A"/>
      </patternFill>
    </fill>
    <fill>
      <patternFill patternType="solid">
        <fgColor rgb="FFF5F8FD"/>
      </patternFill>
    </fill>
    <fill>
      <patternFill patternType="solid">
        <fgColor rgb="FFDCE7F7"/>
      </patternFill>
    </fill>
    <fill>
      <patternFill patternType="solid">
        <fgColor rgb="FFFFC220"/>
      </patternFill>
    </fill>
    <fill>
      <patternFill patternType="solid">
        <fgColor rgb="FFE3F1E6"/>
      </patternFill>
    </fill>
  </fills>
  <borders count="2">
    <border>
      <left/>
      <right/>
      <top/>
      <bottom/>
      <diagonal/>
    </border>
    <border>
      <bottom style="thin">
        <color rgb="FFDFE6F2"/>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4" fillId="2" borderId="0" applyAlignment="1" pivotButton="0" quotePrefix="0" xfId="0">
      <alignment horizontal="left" vertical="center"/>
    </xf>
    <xf numFmtId="0" fontId="5" fillId="3" borderId="1" pivotButton="0" quotePrefix="0" xfId="0"/>
    <xf numFmtId="0" fontId="5" fillId="4" borderId="1" pivotButton="0" quotePrefix="0" xfId="0"/>
    <xf numFmtId="0" fontId="5" fillId="5" borderId="1" pivotButton="0" quotePrefix="0" xfId="0"/>
    <xf numFmtId="0" fontId="5" fillId="6" borderId="1" pivotButton="0" quotePrefix="0" xfId="0"/>
    <xf numFmtId="0" fontId="3" fillId="0" borderId="1" pivotButton="0" quotePrefix="0" xfId="0"/>
    <xf numFmtId="0" fontId="5" fillId="0" borderId="1" pivotButton="0" quotePrefix="0" xfId="0"/>
    <xf numFmtId="0" fontId="3" fillId="5" borderId="1" pivotButton="0" quotePrefix="0" xfId="0"/>
    <xf numFmtId="165" fontId="5" fillId="6" borderId="1" pivotButton="0" quotePrefix="0" xfId="0"/>
    <xf numFmtId="2" fontId="5" fillId="6" borderId="1" pivotButton="0" quotePrefix="0" xfId="0"/>
    <xf numFmtId="3" fontId="5" fillId="6" borderId="1" pivotButton="0" quotePrefix="0" xfId="0"/>
    <xf numFmtId="164" fontId="5" fillId="6" borderId="1" pivotButton="0" quotePrefix="0" xfId="0"/>
    <xf numFmtId="9" fontId="5" fillId="6" borderId="1" pivotButton="0" quotePrefix="0" xfId="0"/>
    <xf numFmtId="0" fontId="3"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26" customWidth="1" min="1" max="1"/>
    <col width="10" customWidth="1" min="2" max="2"/>
    <col width="10" customWidth="1" min="3" max="3"/>
    <col width="12" customWidth="1" min="4" max="4"/>
    <col width="30" customWidth="1" min="5" max="5"/>
    <col width="56" customWidth="1" min="6" max="6"/>
  </cols>
  <sheetData>
    <row r="1" ht="22" customHeight="1">
      <c r="A1" s="1" t="inlineStr">
        <is>
          <t>Flipkart WiRED X — Campus Node Model</t>
        </is>
      </c>
    </row>
    <row r="2" ht="26" customHeight="1">
      <c r="A2" s="2" t="inlineStr">
        <is>
          <t>Generated from the model by Model/make_workbook.py. Team ANAVRIN. Blue rows are sourced inputs; green rows are live formulas that recompute from the Inputs sheet. Nothing in this workbook is typed by hand, including the verification counts below.</t>
        </is>
      </c>
    </row>
    <row r="4">
      <c r="A4" s="3" t="inlineStr">
        <is>
          <t>RELEASE CHECKS</t>
        </is>
      </c>
    </row>
    <row r="5" ht="18" customHeight="1">
      <c r="A5" s="4" t="inlineStr">
        <is>
          <t>Layer</t>
        </is>
      </c>
      <c r="B5" s="4" t="inlineStr">
        <is>
          <t>Passed</t>
        </is>
      </c>
      <c r="C5" s="4" t="inlineStr">
        <is>
          <t>Defined</t>
        </is>
      </c>
      <c r="D5" s="4" t="inlineStr">
        <is>
          <t>Status</t>
        </is>
      </c>
      <c r="E5" s="4" t="inlineStr">
        <is>
          <t>Command</t>
        </is>
      </c>
      <c r="F5" s="4" t="inlineStr">
        <is>
          <t>Scope</t>
        </is>
      </c>
    </row>
    <row r="6">
      <c r="A6" s="5" t="inlineStr">
        <is>
          <t>audit</t>
        </is>
      </c>
      <c r="B6" s="5" t="n">
        <v>378</v>
      </c>
      <c r="C6" s="5" t="n">
        <v>378</v>
      </c>
      <c r="D6" s="5">
        <f>IF(B6=C6,"PASS","FAIL")</f>
        <v/>
      </c>
      <c r="E6" s="5" t="inlineStr">
        <is>
          <t>python3 Model/audit.py</t>
        </is>
      </c>
      <c r="F6" s="5" t="inlineStr">
        <is>
          <t>model against itself, incl. cross-module reconciliation</t>
        </is>
      </c>
    </row>
    <row r="7">
      <c r="A7" s="5" t="inlineStr">
        <is>
          <t>docs</t>
        </is>
      </c>
      <c r="B7" s="5" t="n">
        <v>31</v>
      </c>
      <c r="C7" s="5" t="n">
        <v>31</v>
      </c>
      <c r="D7" s="5">
        <f>IF(B7=C7,"PASS","FAIL")</f>
        <v/>
      </c>
      <c r="E7" s="5" t="inlineStr">
        <is>
          <t>python3 Model/verify_docs.py</t>
        </is>
      </c>
      <c r="F7" s="5" t="inlineStr">
        <is>
          <t>HANDOFF figures against the model</t>
        </is>
      </c>
    </row>
    <row r="8">
      <c r="A8" s="5" t="inlineStr">
        <is>
          <t>spec</t>
        </is>
      </c>
      <c r="B8" s="5" t="n">
        <v>79</v>
      </c>
      <c r="C8" s="5" t="n">
        <v>79</v>
      </c>
      <c r="D8" s="5">
        <f>IF(B8=C8,"PASS","FAIL")</f>
        <v/>
      </c>
      <c r="E8" s="5" t="inlineStr">
        <is>
          <t>python3 Model/verify_spec.py</t>
        </is>
      </c>
      <c r="F8" s="5" t="inlineStr">
        <is>
          <t>deck spec and build prompt against the model</t>
        </is>
      </c>
    </row>
    <row r="9">
      <c r="A9" s="5" t="inlineStr">
        <is>
          <t>deck</t>
        </is>
      </c>
      <c r="B9" s="5" t="n">
        <v>184</v>
      </c>
      <c r="C9" s="5" t="n">
        <v>184</v>
      </c>
      <c r="D9" s="5">
        <f>IF(B9=C9,"PASS","FAIL")</f>
        <v/>
      </c>
      <c r="E9" s="5" t="inlineStr">
        <is>
          <t>python3 Model/verify_deck.py</t>
        </is>
      </c>
      <c r="F9" s="5" t="inlineStr">
        <is>
          <t>the BUILT .pptx, presence and absence</t>
        </is>
      </c>
    </row>
    <row r="10">
      <c r="A10" s="5" t="inlineStr">
        <is>
          <t>artefacts</t>
        </is>
      </c>
      <c r="B10" s="5" t="n">
        <v>28</v>
      </c>
      <c r="C10" s="5" t="n">
        <v>28</v>
      </c>
      <c r="D10" s="5">
        <f>IF(B10=C10,"PASS","FAIL")</f>
        <v/>
      </c>
      <c r="E10" s="5" t="inlineStr">
        <is>
          <t>python3 Model/verify_artifacts.py</t>
        </is>
      </c>
      <c r="F10" s="5" t="inlineStr">
        <is>
          <t>workbook, notebooks, manifest, public data</t>
        </is>
      </c>
    </row>
    <row r="12">
      <c r="A12" s="3" t="inlineStr">
        <is>
          <t>ALL FIVE LAYERS PASSED on the last recorded run.</t>
        </is>
      </c>
    </row>
  </sheetData>
  <mergeCells count="1">
    <mergeCell ref="A2:H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36"/>
  <sheetViews>
    <sheetView showGridLines="0" workbookViewId="0">
      <selection activeCell="A1" sqref="A1"/>
    </sheetView>
  </sheetViews>
  <sheetFormatPr baseColWidth="8" defaultRowHeight="15"/>
  <cols>
    <col width="34" customWidth="1" min="1" max="1"/>
    <col width="14" customWidth="1" min="2" max="2"/>
    <col width="14" customWidth="1" min="3" max="3"/>
    <col width="7" customWidth="1" min="4" max="4"/>
    <col width="42" customWidth="1" min="5" max="5"/>
  </cols>
  <sheetData>
    <row r="1" ht="22" customHeight="1">
      <c r="A1" s="1" t="inlineStr">
        <is>
          <t>Inputs and policy constants</t>
        </is>
      </c>
    </row>
    <row r="2" ht="26" customHeight="1">
      <c r="A2" s="2" t="inlineStr">
        <is>
          <t>Every contested policy constant lives in Model/params.py and is imported everywhere else. A value redeclared outside params.py fails the audit.</t>
        </is>
      </c>
    </row>
    <row r="4" ht="18" customHeight="1">
      <c r="A4" s="4" t="inlineStr">
        <is>
          <t>Parameter</t>
        </is>
      </c>
      <c r="B4" s="4" t="inlineStr">
        <is>
          <t>Value</t>
        </is>
      </c>
      <c r="C4" s="4" t="inlineStr">
        <is>
          <t>Unit</t>
        </is>
      </c>
      <c r="D4" s="4" t="inlineStr">
        <is>
          <t>Tier</t>
        </is>
      </c>
      <c r="E4" s="4" t="inlineStr">
        <is>
          <t>Source / derivation</t>
        </is>
      </c>
    </row>
    <row r="5">
      <c r="A5" s="6" t="inlineStr">
        <is>
          <t>Cluster volume</t>
        </is>
      </c>
      <c r="B5" s="6" t="n">
        <v>1400</v>
      </c>
      <c r="C5" s="6" t="inlineStr">
        <is>
          <t>orders/day</t>
        </is>
      </c>
      <c r="D5" s="6" t="inlineStr">
        <is>
          <t>T1</t>
        </is>
      </c>
      <c r="E5" s="6" t="inlineStr">
        <is>
          <t>JM Ex.29 observed 1,334–1,487 band</t>
        </is>
      </c>
    </row>
    <row r="6">
      <c r="A6" s="6" t="inlineStr">
        <is>
          <t>Campus gates per node</t>
        </is>
      </c>
      <c r="B6" s="6" t="n">
        <v>3</v>
      </c>
      <c r="C6" s="6" t="inlineStr">
        <is>
          <t>gates</t>
        </is>
      </c>
      <c r="D6" s="6" t="inlineStr">
        <is>
          <t>D</t>
        </is>
      </c>
      <c r="E6" s="6" t="inlineStr">
        <is>
          <t>params.CAMPUSES_PER_NODE</t>
        </is>
      </c>
    </row>
    <row r="7">
      <c r="A7" s="6" t="inlineStr">
        <is>
          <t>Active academic months</t>
        </is>
      </c>
      <c r="B7" s="6" t="n">
        <v>8.5</v>
      </c>
      <c r="C7" s="6" t="inlineStr">
        <is>
          <t>months/yr</t>
        </is>
      </c>
      <c r="D7" s="6" t="inlineStr">
        <is>
          <t>T1</t>
        </is>
      </c>
      <c r="E7" s="6" t="inlineStr">
        <is>
          <t>institutional calendars</t>
        </is>
      </c>
    </row>
    <row r="8">
      <c r="A8" s="6" t="inlineStr">
        <is>
          <t>Revenue take rate</t>
        </is>
      </c>
      <c r="B8" s="6" t="n">
        <v>0.1941</v>
      </c>
      <c r="C8" s="6" t="inlineStr">
        <is>
          <t>% of GOV</t>
        </is>
      </c>
      <c r="D8" s="6" t="inlineStr">
        <is>
          <t>T1</t>
        </is>
      </c>
      <c r="E8" s="6" t="inlineStr">
        <is>
          <t>JM Financial, Eternal FY26E</t>
        </is>
      </c>
    </row>
    <row r="9">
      <c r="A9" s="6" t="inlineStr">
        <is>
          <t>Store fixed cost</t>
        </is>
      </c>
      <c r="B9" s="6" t="n">
        <v>902000</v>
      </c>
      <c r="C9" s="6" t="inlineStr">
        <is>
          <t>Rs/month</t>
        </is>
      </c>
      <c r="D9" s="6" t="inlineStr">
        <is>
          <t>T1</t>
        </is>
      </c>
      <c r="E9" s="6" t="inlineStr">
        <is>
          <t>JM Financial Exhibit 13</t>
        </is>
      </c>
    </row>
    <row r="10">
      <c r="A10" s="6" t="inlineStr">
        <is>
          <t>Store ops per order</t>
        </is>
      </c>
      <c r="B10" s="6" t="n">
        <v>39</v>
      </c>
      <c r="C10" s="6" t="inlineStr">
        <is>
          <t>Rs/order</t>
        </is>
      </c>
      <c r="D10" s="6" t="inlineStr">
        <is>
          <t>T2</t>
        </is>
      </c>
      <c r="E10" s="6" t="inlineStr">
        <is>
          <t>pick, pack, warehousing</t>
        </is>
      </c>
    </row>
    <row r="11">
      <c r="A11" s="6" t="inlineStr">
        <is>
          <t>Packaging per order</t>
        </is>
      </c>
      <c r="B11" s="6" t="n">
        <v>12</v>
      </c>
      <c r="C11" s="6" t="inlineStr">
        <is>
          <t>Rs/order</t>
        </is>
      </c>
      <c r="D11" s="6" t="inlineStr">
        <is>
          <t>T2</t>
        </is>
      </c>
      <c r="E11" s="6" t="inlineStr">
        <is>
          <t>packaging + support</t>
        </is>
      </c>
    </row>
    <row r="12">
      <c r="A12" s="6" t="inlineStr">
        <is>
          <t>Unallocated residual</t>
        </is>
      </c>
      <c r="B12" s="6" t="n">
        <v>12.30539999999999</v>
      </c>
      <c r="C12" s="6" t="inlineStr">
        <is>
          <t>Rs/order</t>
        </is>
      </c>
      <c r="D12" s="6" t="inlineStr">
        <is>
          <t>D</t>
        </is>
      </c>
      <c r="E12" s="6" t="inlineStr">
        <is>
          <t>implied variable less itemised</t>
        </is>
      </c>
    </row>
    <row r="13">
      <c r="A13" s="6" t="inlineStr">
        <is>
          <t>City gig leg</t>
        </is>
      </c>
      <c r="B13" s="6" t="n">
        <v>14.24935159248884</v>
      </c>
      <c r="C13" s="6" t="inlineStr">
        <is>
          <t>Rs/order</t>
        </is>
      </c>
      <c r="D13" s="6" t="inlineStr">
        <is>
          <t>D</t>
        </is>
      </c>
      <c r="E13" s="6" t="inlineStr">
        <is>
          <t>sla.py, volume-weighted across demand bands</t>
        </is>
      </c>
    </row>
    <row r="14">
      <c r="A14" s="6" t="inlineStr">
        <is>
          <t>In-gate roster leg</t>
        </is>
      </c>
      <c r="B14" s="6" t="n">
        <v>3.363872899587185</v>
      </c>
      <c r="C14" s="6" t="inlineStr">
        <is>
          <t>Rs/order</t>
        </is>
      </c>
      <c r="D14" s="6" t="inlineStr">
        <is>
          <t>D</t>
        </is>
      </c>
      <c r="E14" s="6" t="inlineStr">
        <is>
          <t>fleet_mix.plan_roster(), fixed roster / volume</t>
        </is>
      </c>
    </row>
    <row r="15">
      <c r="A15" s="6" t="inlineStr">
        <is>
          <t>NWC days</t>
        </is>
      </c>
      <c r="B15" s="6" t="n">
        <v>14</v>
      </c>
      <c r="C15" s="6" t="inlineStr">
        <is>
          <t>days</t>
        </is>
      </c>
      <c r="D15" s="6" t="inlineStr">
        <is>
          <t>T1</t>
        </is>
      </c>
      <c r="E15" s="6" t="inlineStr">
        <is>
          <t>Eternal Q1FY27, on NOV not COGS</t>
        </is>
      </c>
    </row>
    <row r="16">
      <c r="A16" s="6" t="inlineStr">
        <is>
          <t>Capex midpoint</t>
        </is>
      </c>
      <c r="B16" s="6" t="n">
        <v>23500000</v>
      </c>
      <c r="C16" s="6" t="inlineStr">
        <is>
          <t>Rs</t>
        </is>
      </c>
      <c r="D16" s="6" t="inlineStr">
        <is>
          <t>T2</t>
        </is>
      </c>
      <c r="E16" s="6" t="inlineStr">
        <is>
          <t>band midpoint</t>
        </is>
      </c>
    </row>
    <row r="17">
      <c r="A17" s="6" t="inlineStr">
        <is>
          <t>Tax rate</t>
        </is>
      </c>
      <c r="B17" s="6" t="n">
        <v>0.2517</v>
      </c>
      <c r="C17" s="6" t="inlineStr">
        <is>
          <t>%</t>
        </is>
      </c>
      <c r="D17" s="6" t="inlineStr">
        <is>
          <t>T1</t>
        </is>
      </c>
      <c r="E17" s="6" t="inlineStr">
        <is>
          <t>22% + surcharge + cess</t>
        </is>
      </c>
    </row>
    <row r="18">
      <c r="A18" s="6" t="inlineStr">
        <is>
          <t>Node life</t>
        </is>
      </c>
      <c r="B18" s="6" t="n">
        <v>60</v>
      </c>
      <c r="C18" s="6" t="inlineStr">
        <is>
          <t>months</t>
        </is>
      </c>
      <c r="D18" s="6" t="inlineStr">
        <is>
          <t>D</t>
        </is>
      </c>
      <c r="E18" s="6" t="inlineStr">
        <is>
          <t>must outlive its own payback</t>
        </is>
      </c>
    </row>
    <row r="19">
      <c r="A19" s="7" t="inlineStr">
        <is>
          <t>PG demand evidence gate</t>
        </is>
      </c>
      <c r="B19" s="7" t="b">
        <v>0</v>
      </c>
      <c r="C19" s="7" t="inlineStr">
        <is>
          <t>TRUE/FALSE</t>
        </is>
      </c>
      <c r="D19" s="7" t="inlineStr">
        <is>
          <t>P</t>
        </is>
      </c>
      <c r="E19" s="7" t="inlineStr">
        <is>
          <t>opens only after site evidence is approved</t>
        </is>
      </c>
    </row>
    <row r="20">
      <c r="A20" s="7" t="inlineStr">
        <is>
          <t>PG verified occupied student beds</t>
        </is>
      </c>
      <c r="B20" s="7" t="n">
        <v>0</v>
      </c>
      <c r="C20" s="7" t="inlineStr">
        <is>
          <t>beds</t>
        </is>
      </c>
      <c r="D20" s="7" t="inlineStr">
        <is>
          <t>P</t>
        </is>
      </c>
      <c r="E20" s="7" t="inlineStr">
        <is>
          <t>occupied STUDENT beds inside the served radius</t>
        </is>
      </c>
    </row>
    <row r="21">
      <c r="A21" s="7" t="inlineStr">
        <is>
          <t>PG active-user penetration</t>
        </is>
      </c>
      <c r="B21" s="7" t="n">
        <v>0</v>
      </c>
      <c r="C21" s="7" t="inlineStr">
        <is>
          <t>%</t>
        </is>
      </c>
      <c r="D21" s="7" t="inlineStr">
        <is>
          <t>P</t>
        </is>
      </c>
      <c r="E21" s="7" t="inlineStr">
        <is>
          <t>pilot-observed active users / occupied student beds</t>
        </is>
      </c>
    </row>
    <row r="22">
      <c r="A22" s="7" t="inlineStr">
        <is>
          <t>PG gross AOV</t>
        </is>
      </c>
      <c r="B22" s="7" t="n">
        <v>0</v>
      </c>
      <c r="C22" s="7" t="inlineStr">
        <is>
          <t>Rs/order</t>
        </is>
      </c>
      <c r="D22" s="7" t="inlineStr">
        <is>
          <t>P</t>
        </is>
      </c>
      <c r="E22" s="7" t="inlineStr">
        <is>
          <t>pilot-observed; zero means not evidenced</t>
        </is>
      </c>
    </row>
    <row r="23">
      <c r="A23" s="7" t="inlineStr">
        <is>
          <t>PG common-drop share</t>
        </is>
      </c>
      <c r="B23" s="7" t="n">
        <v>0</v>
      </c>
      <c r="C23" s="7" t="inlineStr">
        <is>
          <t>%</t>
        </is>
      </c>
      <c r="D23" s="7" t="inlineStr">
        <is>
          <t>P</t>
        </is>
      </c>
      <c r="E23" s="7" t="inlineStr">
        <is>
          <t>share served at reception, warden desk or locker</t>
        </is>
      </c>
    </row>
    <row r="24">
      <c r="A24" s="7" t="inlineStr">
        <is>
          <t>PG break retention</t>
        </is>
      </c>
      <c r="B24" s="7" t="n">
        <v>0</v>
      </c>
      <c r="C24" s="7" t="inlineStr">
        <is>
          <t>% of term</t>
        </is>
      </c>
      <c r="D24" s="7" t="inlineStr">
        <is>
          <t>P</t>
        </is>
      </c>
      <c r="E24" s="7" t="inlineStr">
        <is>
          <t>PG demand persisting through the academic break</t>
        </is>
      </c>
    </row>
    <row r="25">
      <c r="A25" s="7" t="inlineStr">
        <is>
          <t>Hostel term volume in PG scenario</t>
        </is>
      </c>
      <c r="B25" s="7" t="n">
        <v>1400</v>
      </c>
      <c r="C25" s="7" t="inlineStr">
        <is>
          <t>orders/day</t>
        </is>
      </c>
      <c r="D25" s="7" t="inlineStr">
        <is>
          <t>P</t>
        </is>
      </c>
      <c r="E25" s="7" t="inlineStr">
        <is>
          <t>capacity already consumed by the hostel base</t>
        </is>
      </c>
    </row>
    <row r="26">
      <c r="A26" s="6" t="inlineStr">
        <is>
          <t>PG orders per active user per day</t>
        </is>
      </c>
      <c r="B26" s="6" t="n">
        <v>0.12</v>
      </c>
      <c r="C26" s="6" t="inlineStr">
        <is>
          <t>orders/day</t>
        </is>
      </c>
      <c r="D26" s="6" t="inlineStr">
        <is>
          <t>T1</t>
        </is>
      </c>
      <c r="E26" s="6" t="inlineStr">
        <is>
          <t>Blinkit 3.6/month / 30; no captive-campus uplift</t>
        </is>
      </c>
    </row>
    <row r="27">
      <c r="A27" s="6" t="inlineStr">
        <is>
          <t>PG doorstep last mile</t>
        </is>
      </c>
      <c r="B27" s="6" t="n">
        <v>26.87389770723104</v>
      </c>
      <c r="C27" s="6" t="inlineStr">
        <is>
          <t>Rs/order</t>
        </is>
      </c>
      <c r="D27" s="6" t="inlineStr">
        <is>
          <t>D</t>
        </is>
      </c>
      <c r="E27" s="6" t="inlineStr">
        <is>
          <t>cost_stack Type B urban PG geometry</t>
        </is>
      </c>
    </row>
    <row r="28">
      <c r="A28" s="6" t="inlineStr">
        <is>
          <t>PG common-drop last mile</t>
        </is>
      </c>
      <c r="B28" s="6" t="n">
        <v>23.95282186948853</v>
      </c>
      <c r="C28" s="6" t="inlineStr">
        <is>
          <t>Rs/order</t>
        </is>
      </c>
      <c r="D28" s="6" t="inlineStr">
        <is>
          <t>D</t>
        </is>
      </c>
      <c r="E28" s="6" t="inlineStr">
        <is>
          <t>cost_stack Type B common-drop geometry</t>
        </is>
      </c>
    </row>
    <row r="29">
      <c r="A29" s="6" t="inlineStr">
        <is>
          <t>NOV / GOV</t>
        </is>
      </c>
      <c r="B29" s="6" t="n">
        <v>0.791</v>
      </c>
      <c r="C29" s="6" t="inlineStr">
        <is>
          <t>x</t>
        </is>
      </c>
      <c r="D29" s="6" t="inlineStr">
        <is>
          <t>T1</t>
        </is>
      </c>
      <c r="E29" s="6" t="inlineStr">
        <is>
          <t>Blinkit FY26E</t>
        </is>
      </c>
    </row>
    <row r="30">
      <c r="A30" s="6" t="inlineStr">
        <is>
          <t>Term days</t>
        </is>
      </c>
      <c r="B30" s="6" t="n">
        <v>258.5416666666667</v>
      </c>
      <c r="C30" s="6" t="inlineStr">
        <is>
          <t>days/year</t>
        </is>
      </c>
      <c r="D30" s="6" t="inlineStr">
        <is>
          <t>D</t>
        </is>
      </c>
      <c r="E30" s="6" t="inlineStr">
        <is>
          <t>365 x active academic months / 12</t>
        </is>
      </c>
    </row>
    <row r="31">
      <c r="A31" s="6" t="inlineStr">
        <is>
          <t>Break days</t>
        </is>
      </c>
      <c r="B31" s="6" t="n">
        <v>106.4583333333333</v>
      </c>
      <c r="C31" s="6" t="inlineStr">
        <is>
          <t>days/year</t>
        </is>
      </c>
      <c r="D31" s="6" t="inlineStr">
        <is>
          <t>D</t>
        </is>
      </c>
      <c r="E31" s="6" t="inlineStr">
        <is>
          <t>365 - term days</t>
        </is>
      </c>
    </row>
    <row r="32">
      <c r="A32" s="6" t="inlineStr">
        <is>
          <t>Hostel comparison AOV</t>
        </is>
      </c>
      <c r="B32" s="6" t="n">
        <v>729.383462929356</v>
      </c>
      <c r="C32" s="6" t="inlineStr">
        <is>
          <t>Rs/order</t>
        </is>
      </c>
      <c r="D32" s="6" t="inlineStr">
        <is>
          <t>D</t>
        </is>
      </c>
      <c r="E32" s="6" t="inlineStr">
        <is>
          <t>basket at the 30% non-grocery floor</t>
        </is>
      </c>
    </row>
    <row r="33">
      <c r="A33" s="7" t="inlineStr">
        <is>
          <t>Assortment financial evidence gate</t>
        </is>
      </c>
      <c r="B33" s="7" t="b">
        <v>0</v>
      </c>
      <c r="C33" s="7" t="inlineStr">
        <is>
          <t>TRUE/FALSE</t>
        </is>
      </c>
      <c r="D33" s="7" t="inlineStr">
        <is>
          <t>P</t>
        </is>
      </c>
      <c r="E33" s="7" t="inlineStr">
        <is>
          <t>opens only after pilot category evidence is approved</t>
        </is>
      </c>
    </row>
    <row r="34">
      <c r="A34" s="7" t="inlineStr">
        <is>
          <t>Assortment waste + markdown saving</t>
        </is>
      </c>
      <c r="B34" s="7" t="n">
        <v>0</v>
      </c>
      <c r="C34" s="7" t="inlineStr">
        <is>
          <t>Rs/break month</t>
        </is>
      </c>
      <c r="D34" s="7" t="inlineStr">
        <is>
          <t>P</t>
        </is>
      </c>
      <c r="E34" s="7" t="inlineStr">
        <is>
          <t>pilot-observed; zero means not evidenced</t>
        </is>
      </c>
    </row>
    <row r="35">
      <c r="A35" s="7" t="inlineStr">
        <is>
          <t>Assortment handling saving</t>
        </is>
      </c>
      <c r="B35" s="7" t="n">
        <v>0</v>
      </c>
      <c r="C35" s="7" t="inlineStr">
        <is>
          <t>Rs/break month</t>
        </is>
      </c>
      <c r="D35" s="7" t="inlineStr">
        <is>
          <t>P</t>
        </is>
      </c>
      <c r="E35" s="7" t="inlineStr">
        <is>
          <t>pilot-observed; excludes labour already flexed elsewhere</t>
        </is>
      </c>
    </row>
    <row r="36">
      <c r="A36" s="7" t="inlineStr">
        <is>
          <t>Assortment NWC release</t>
        </is>
      </c>
      <c r="B36" s="7" t="n">
        <v>0</v>
      </c>
      <c r="C36" s="7" t="inlineStr">
        <is>
          <t>Rs one-time</t>
        </is>
      </c>
      <c r="D36" s="7" t="inlineStr">
        <is>
          <t>P</t>
        </is>
      </c>
      <c r="E36" s="7" t="inlineStr">
        <is>
          <t>pilot-observed cash release; not EBIT</t>
        </is>
      </c>
    </row>
  </sheetData>
  <mergeCells count="1">
    <mergeCell ref="A2:H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26" customWidth="1" min="1" max="1"/>
    <col width="8" customWidth="1" min="2" max="2"/>
    <col width="11" customWidth="1" min="3" max="3"/>
    <col width="12" customWidth="1" min="4" max="4"/>
    <col width="11" customWidth="1" min="5" max="5"/>
    <col width="8" customWidth="1" min="6" max="6"/>
    <col width="14" customWidth="1" min="7" max="7"/>
    <col width="15" customWidth="1" min="8" max="8"/>
    <col width="14" customWidth="1" min="9" max="9"/>
    <col width="10" customWidth="1" min="10" max="10"/>
  </cols>
  <sheetData>
    <row r="1" ht="22" customHeight="1">
      <c r="A1" s="1" t="inlineStr">
        <is>
          <t>Fulfilment — two legs, two cost structures</t>
        </is>
      </c>
    </row>
    <row r="2" ht="26" customHeight="1">
      <c r="A2" s="2" t="inlineStr">
        <is>
          <t>The city leg is gig, bought per trip and divided by batch, so it varies by demand band. The in-gate leg is a fixed roster divided by daily volume, so it is FLAT across bands. That flatness is the argument for rostering.</t>
        </is>
      </c>
    </row>
    <row r="4" ht="18" customHeight="1">
      <c r="A4" s="4" t="inlineStr">
        <is>
          <t>Demand band</t>
        </is>
      </c>
      <c r="B4" s="4" t="inlineStr">
        <is>
          <t>Hours</t>
        </is>
      </c>
      <c r="C4" s="4" t="inlineStr">
        <is>
          <t>Multiplier</t>
        </is>
      </c>
      <c r="D4" s="4" t="inlineStr">
        <is>
          <t>% of orders</t>
        </is>
      </c>
      <c r="E4" s="4" t="inlineStr">
        <is>
          <t>Orders/hr</t>
        </is>
      </c>
      <c r="F4" s="4" t="inlineStr">
        <is>
          <t>Batch</t>
        </is>
      </c>
      <c r="G4" s="4" t="inlineStr">
        <is>
          <t>City Rs/order</t>
        </is>
      </c>
      <c r="H4" s="4" t="inlineStr">
        <is>
          <t>In-gate Rs/order</t>
        </is>
      </c>
      <c r="I4" s="4" t="inlineStr">
        <is>
          <t>Total Rs/order</t>
        </is>
      </c>
      <c r="J4" s="4" t="inlineStr">
        <is>
          <t>SLA min</t>
        </is>
      </c>
    </row>
    <row r="5">
      <c r="A5" s="8" t="inlineStr">
        <is>
          <t>Peak (late evening, exam windows)</t>
        </is>
      </c>
      <c r="B5" s="8" t="n">
        <v>4</v>
      </c>
      <c r="C5" s="8" t="n">
        <v>4</v>
      </c>
      <c r="D5" s="8" t="n">
        <v>0.6274509803921569</v>
      </c>
      <c r="E5" s="8" t="n">
        <v>103.7</v>
      </c>
      <c r="F5" s="8" t="n">
        <v>10</v>
      </c>
      <c r="G5" s="8" t="n">
        <v>5.12</v>
      </c>
      <c r="H5" s="8" t="n">
        <v>3.36</v>
      </c>
      <c r="I5" s="8" t="n">
        <v>8.48</v>
      </c>
      <c r="J5" s="8" t="n">
        <v>27.1</v>
      </c>
    </row>
    <row r="6">
      <c r="A6" s="8" t="inlineStr">
        <is>
          <t>Normal</t>
        </is>
      </c>
      <c r="B6" s="8" t="n">
        <v>8</v>
      </c>
      <c r="C6" s="8" t="n">
        <v>1</v>
      </c>
      <c r="D6" s="8" t="n">
        <v>0.3137254901960784</v>
      </c>
      <c r="E6" s="8" t="n">
        <v>25.9</v>
      </c>
      <c r="F6" s="8" t="n">
        <v>2</v>
      </c>
      <c r="G6" s="8" t="n">
        <v>25.59</v>
      </c>
      <c r="H6" s="8" t="n">
        <v>3.36</v>
      </c>
      <c r="I6" s="8" t="n">
        <v>28.95</v>
      </c>
      <c r="J6" s="8" t="n">
        <v>21.6</v>
      </c>
    </row>
    <row r="7">
      <c r="A7" s="8" t="inlineStr">
        <is>
          <t>Trough (early morning, class hrs)</t>
        </is>
      </c>
      <c r="B7" s="8" t="n">
        <v>6</v>
      </c>
      <c r="C7" s="8" t="n">
        <v>0.25</v>
      </c>
      <c r="D7" s="8" t="n">
        <v>0.05882352941176471</v>
      </c>
      <c r="E7" s="8" t="n">
        <v>6.5</v>
      </c>
      <c r="F7" s="8" t="n">
        <v>1</v>
      </c>
      <c r="G7" s="8" t="n">
        <v>51.18</v>
      </c>
      <c r="H7" s="8" t="n">
        <v>3.36</v>
      </c>
      <c r="I7" s="8" t="n">
        <v>54.54</v>
      </c>
      <c r="J7" s="8" t="n">
        <v>25.7</v>
      </c>
    </row>
    <row r="9">
      <c r="A9" s="9" t="inlineStr">
        <is>
          <t>VOLUME-WEIGHTED LAST MILE</t>
        </is>
      </c>
      <c r="B9" s="9" t="n"/>
      <c r="C9" s="9" t="n"/>
      <c r="D9" s="9" t="n"/>
      <c r="E9" s="9" t="n"/>
      <c r="F9" s="9" t="n"/>
      <c r="G9" s="9">
        <f>SUMPRODUCT(D5:D7,G5:G7)</f>
        <v/>
      </c>
      <c r="H9" s="9">
        <f>H5</f>
        <v/>
      </c>
      <c r="I9" s="9">
        <f>G9+H9</f>
        <v/>
      </c>
    </row>
    <row r="10">
      <c r="A10" s="10" t="inlineStr">
        <is>
          <t>Standard 2–3 km residential zone</t>
        </is>
      </c>
      <c r="B10" s="10" t="n"/>
      <c r="C10" s="10" t="n"/>
      <c r="D10" s="10" t="n"/>
      <c r="E10" s="10" t="n"/>
      <c r="F10" s="10" t="n"/>
      <c r="G10" s="10" t="n"/>
      <c r="H10" s="10" t="n"/>
      <c r="I10" s="10" t="n">
        <v>42</v>
      </c>
    </row>
    <row r="11">
      <c r="A11" s="9" t="inlineStr">
        <is>
          <t>Saving vs a standard zone</t>
        </is>
      </c>
      <c r="B11" s="9" t="n"/>
      <c r="C11" s="9" t="n"/>
      <c r="D11" s="9" t="n"/>
      <c r="E11" s="9" t="n"/>
      <c r="F11" s="9" t="n"/>
      <c r="G11" s="9" t="n"/>
      <c r="H11" s="9" t="n"/>
      <c r="I11" s="9">
        <f>1-I9/I10</f>
        <v/>
      </c>
    </row>
    <row r="14">
      <c r="A14" s="9" t="inlineStr">
        <is>
          <t>ROSTER — base case is PER GATE</t>
        </is>
      </c>
      <c r="B14" s="9" t="n"/>
      <c r="C14" s="9" t="n"/>
      <c r="D14" s="9" t="n"/>
      <c r="E14" s="9" t="n"/>
    </row>
    <row r="15">
      <c r="A15" s="10" t="inlineStr">
        <is>
          <t>per gate (467/day)</t>
        </is>
      </c>
      <c r="B15" s="10" t="n">
        <v>2</v>
      </c>
      <c r="C15" s="10" t="inlineStr">
        <is>
          <t>runners</t>
        </is>
      </c>
      <c r="D15" s="10" t="inlineStr">
        <is>
          <t>alpha 87%</t>
        </is>
      </c>
      <c r="E15" s="10" t="inlineStr">
        <is>
          <t>Rs3.36/order</t>
        </is>
      </c>
    </row>
    <row r="16">
      <c r="A16" s="10" t="inlineStr">
        <is>
          <t>pooled across 3 gates (UPSIDE, not the plan)</t>
        </is>
      </c>
      <c r="B16" s="10" t="n">
        <v>7</v>
      </c>
      <c r="C16" s="10" t="inlineStr">
        <is>
          <t>runners</t>
        </is>
      </c>
      <c r="D16" s="10" t="inlineStr">
        <is>
          <t>alpha 100%</t>
        </is>
      </c>
      <c r="E16" s="10" t="inlineStr">
        <is>
          <t>Rs2.88/order — Rs0.48 better, conditional on cross-gate movement</t>
        </is>
      </c>
    </row>
  </sheetData>
  <mergeCells count="1">
    <mergeCell ref="A2:H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3"/>
  <sheetViews>
    <sheetView showGridLines="0" workbookViewId="0">
      <selection activeCell="A1" sqref="A1"/>
    </sheetView>
  </sheetViews>
  <sheetFormatPr baseColWidth="8" defaultRowHeight="15"/>
  <cols>
    <col width="42" customWidth="1" min="1" max="1"/>
    <col width="16" customWidth="1" min="2" max="2"/>
    <col width="12" customWidth="1" min="3" max="3"/>
    <col width="46" customWidth="1" min="4" max="4"/>
  </cols>
  <sheetData>
    <row r="1" ht="22" customHeight="1">
      <c r="A1" s="1" t="inlineStr">
        <is>
          <t>Unit economics and the AOV thresholds</t>
        </is>
      </c>
    </row>
    <row r="2" ht="26" customHeight="1">
      <c r="A2" s="2" t="inlineStr">
        <is>
          <t>Two day-count conventions are both in use and both correct. The deck spine carries the fixed base across twelve 30-day months; the returns model uses a 365-day year. The gap is stated rather than smoothed away.</t>
        </is>
      </c>
    </row>
    <row r="4" ht="18" customHeight="1">
      <c r="A4" s="4" t="inlineStr">
        <is>
          <t>Metric</t>
        </is>
      </c>
      <c r="B4" s="4" t="inlineStr">
        <is>
          <t>Value</t>
        </is>
      </c>
      <c r="C4" s="4" t="inlineStr">
        <is>
          <t>Unit</t>
        </is>
      </c>
      <c r="D4" s="4" t="inlineStr">
        <is>
          <t>Reading</t>
        </is>
      </c>
    </row>
    <row r="5">
      <c r="A5" s="8" t="inlineStr">
        <is>
          <t>Variable cost per order</t>
        </is>
      </c>
      <c r="B5" s="8" t="n">
        <v>80.92</v>
      </c>
      <c r="C5" s="8" t="inlineStr">
        <is>
          <t>Rs</t>
        </is>
      </c>
      <c r="D5" s="8" t="inlineStr">
        <is>
          <t>last mile + store ops + packaging + residual</t>
        </is>
      </c>
    </row>
    <row r="6">
      <c r="A6" s="8" t="inlineStr">
        <is>
          <t>Active days per year</t>
        </is>
      </c>
      <c r="B6" s="8" t="n">
        <v>258.5</v>
      </c>
      <c r="C6" s="8" t="inlineStr">
        <is>
          <t>days</t>
        </is>
      </c>
      <c r="D6" s="8" t="inlineStr">
        <is>
          <t>365 x 8.5/12</t>
        </is>
      </c>
    </row>
    <row r="7">
      <c r="A7" s="8" t="inlineStr">
        <is>
          <t>Annual orders, term-only</t>
        </is>
      </c>
      <c r="B7" s="8" t="n">
        <v>361958</v>
      </c>
      <c r="C7" s="8" t="inlineStr">
        <is>
          <t>orders</t>
        </is>
      </c>
      <c r="D7" s="8" t="inlineStr">
        <is>
          <t>returns basis</t>
        </is>
      </c>
    </row>
    <row r="8">
      <c r="A8" s="8" t="inlineStr">
        <is>
          <t>Breakeven AOV — 365-day returns basis</t>
        </is>
      </c>
      <c r="B8" s="8" t="n">
        <v>571</v>
      </c>
      <c r="C8" s="8" t="inlineStr">
        <is>
          <t>Rs</t>
        </is>
      </c>
      <c r="D8" s="8" t="inlineStr">
        <is>
          <t>ROCE = 0</t>
        </is>
      </c>
    </row>
    <row r="9">
      <c r="A9" s="8" t="inlineStr">
        <is>
          <t>Breakeven AOV — 30-day deck spine</t>
        </is>
      </c>
      <c r="B9" s="8" t="n">
        <v>573</v>
      </c>
      <c r="C9" s="8" t="inlineStr">
        <is>
          <t>Rs</t>
        </is>
      </c>
      <c r="D9" s="8" t="inlineStr">
        <is>
          <t>the deck headline</t>
        </is>
      </c>
    </row>
    <row r="10">
      <c r="A10" s="8" t="inlineStr">
        <is>
          <t>Day-count gap between the two</t>
        </is>
      </c>
      <c r="B10" s="8" t="n">
        <v>2.14</v>
      </c>
      <c r="C10" s="8" t="inlineStr">
        <is>
          <t>Rs</t>
        </is>
      </c>
      <c r="D10" s="8" t="inlineStr">
        <is>
          <t>asserted, not smoothed</t>
        </is>
      </c>
    </row>
    <row r="11">
      <c r="A11" s="8" t="inlineStr">
        <is>
          <t>AOV at the 40% external benchmark</t>
        </is>
      </c>
      <c r="B11" s="8" t="n">
        <v>755</v>
      </c>
      <c r="C11" s="8" t="inlineStr">
        <is>
          <t>Rs</t>
        </is>
      </c>
      <c r="D11" s="8" t="inlineStr">
        <is>
          <t>Eternal's disclosed return, not Flipkart's</t>
        </is>
      </c>
    </row>
    <row r="12">
      <c r="A12" s="8" t="inlineStr">
        <is>
          <t>Premium over breakeven</t>
        </is>
      </c>
      <c r="B12" s="8" t="n">
        <v>184</v>
      </c>
      <c r="C12" s="8" t="inlineStr">
        <is>
          <t>Rs</t>
        </is>
      </c>
      <c r="D12" s="8" t="inlineStr">
        <is>
          <t>what the basket lever must buy</t>
        </is>
      </c>
    </row>
    <row r="13">
      <c r="A13" s="8" t="inlineStr">
        <is>
          <t>Non-grocery share the benchmark implies</t>
        </is>
      </c>
      <c r="B13" s="8" t="n">
        <v>32.3</v>
      </c>
      <c r="C13" s="8" t="inlineStr">
        <is>
          <t>% of GOV</t>
        </is>
      </c>
      <c r="D13" s="8" t="inlineStr">
        <is>
          <t>inside the 30-40% range Swiggy discloses</t>
        </is>
      </c>
    </row>
  </sheetData>
  <mergeCells count="1">
    <mergeCell ref="A2:H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9"/>
  <sheetViews>
    <sheetView showGridLines="0" workbookViewId="0">
      <selection activeCell="A1" sqref="A1"/>
    </sheetView>
  </sheetViews>
  <sheetFormatPr baseColWidth="8" defaultRowHeight="15"/>
  <cols>
    <col width="34" customWidth="1" min="1" max="1"/>
    <col width="12" customWidth="1" min="2" max="2"/>
    <col width="12" customWidth="1" min="3" max="3"/>
    <col width="10" customWidth="1" min="4" max="4"/>
    <col width="10" customWidth="1" min="5" max="5"/>
    <col width="13" customWidth="1" min="6" max="6"/>
  </cols>
  <sheetData>
    <row r="1" ht="22" customHeight="1">
      <c r="A1" s="1" t="inlineStr">
        <is>
          <t>Return on capital, DuPont and the scenarios</t>
        </is>
      </c>
    </row>
    <row r="2" ht="26" customHeight="1">
      <c r="A2" s="2" t="inlineStr">
        <is>
          <t>ROCE = EBIT/CE = margin leg x turnover leg. Capital employed is capex plus working capital on the adopted 14-day-on-NOV construct.</t>
        </is>
      </c>
    </row>
    <row r="4" ht="18" customHeight="1">
      <c r="A4" s="4" t="inlineStr">
        <is>
          <t>Line</t>
        </is>
      </c>
      <c r="B4" s="4" t="inlineStr">
        <is>
          <t>Value</t>
        </is>
      </c>
      <c r="C4" s="4" t="inlineStr">
        <is>
          <t>Unit</t>
        </is>
      </c>
      <c r="D4" s="4" t="inlineStr">
        <is>
          <t>Note</t>
        </is>
      </c>
    </row>
    <row r="5">
      <c r="A5" s="8" t="inlineStr">
        <is>
          <t>Capex, band midpoint</t>
        </is>
      </c>
      <c r="B5" s="8" t="n">
        <v>235</v>
      </c>
      <c r="C5" s="8" t="inlineStr">
        <is>
          <t>Rs lakh</t>
        </is>
      </c>
      <c r="D5" s="8" t="inlineStr"/>
    </row>
    <row r="6">
      <c r="A6" s="8" t="inlineStr">
        <is>
          <t>Working capital</t>
        </is>
      </c>
      <c r="B6" s="8" t="n">
        <v>88.90000000000001</v>
      </c>
      <c r="C6" s="8" t="inlineStr">
        <is>
          <t>Rs lakh</t>
        </is>
      </c>
      <c r="D6" s="8" t="inlineStr">
        <is>
          <t>14 NWC days on NOV</t>
        </is>
      </c>
    </row>
    <row r="7">
      <c r="A7" s="8" t="inlineStr">
        <is>
          <t>Capital employed</t>
        </is>
      </c>
      <c r="B7" s="8" t="n">
        <v>323.9</v>
      </c>
      <c r="C7" s="8" t="inlineStr">
        <is>
          <t>Rs lakh</t>
        </is>
      </c>
      <c r="D7" s="8" t="inlineStr">
        <is>
          <t>capex + working capital</t>
        </is>
      </c>
    </row>
    <row r="8">
      <c r="A8" s="8" t="inlineStr">
        <is>
          <t>DuPont margin leg</t>
        </is>
      </c>
      <c r="B8" s="8" t="n">
        <v>4.74</v>
      </c>
      <c r="C8" s="8" t="inlineStr">
        <is>
          <t>%</t>
        </is>
      </c>
      <c r="D8" s="8" t="inlineStr">
        <is>
          <t>at the benchmark AOV</t>
        </is>
      </c>
    </row>
    <row r="9">
      <c r="A9" s="8" t="inlineStr">
        <is>
          <t>DuPont turnover leg</t>
        </is>
      </c>
      <c r="B9" s="8" t="n">
        <v>8.44</v>
      </c>
      <c r="C9" s="8" t="inlineStr">
        <is>
          <t>x</t>
        </is>
      </c>
      <c r="D9" s="8" t="inlineStr">
        <is>
          <t>the node's own turnover on CE</t>
        </is>
      </c>
    </row>
    <row r="10">
      <c r="A10" s="8" t="inlineStr">
        <is>
          <t>Like-for-like asset turn</t>
        </is>
      </c>
      <c r="B10" s="8" t="n">
        <v>6.93</v>
      </c>
      <c r="C10" s="8" t="inlineStr">
        <is>
          <t>x</t>
        </is>
      </c>
      <c r="D10" s="8" t="inlineStr">
        <is>
          <t>common AOV Rs450, isolates density x calendar</t>
        </is>
      </c>
    </row>
    <row r="11">
      <c r="A11" s="8" t="inlineStr">
        <is>
          <t>IRR at the benchmark AOV</t>
        </is>
      </c>
      <c r="B11" s="8" t="n">
        <v>34.4</v>
      </c>
      <c r="C11" s="8" t="inlineStr">
        <is>
          <t>%</t>
        </is>
      </c>
      <c r="D11" s="8" t="inlineStr">
        <is>
          <t>5-year life, 3-month ramp</t>
        </is>
      </c>
    </row>
    <row r="13" ht="18" customHeight="1">
      <c r="A13" s="4" t="inlineStr">
        <is>
          <t>Scenario</t>
        </is>
      </c>
      <c r="B13" s="4" t="inlineStr">
        <is>
          <t>AOV</t>
        </is>
      </c>
      <c r="C13" s="4" t="inlineStr">
        <is>
          <t>Margin</t>
        </is>
      </c>
      <c r="D13" s="4" t="inlineStr">
        <is>
          <t>Turn</t>
        </is>
      </c>
      <c r="E13" s="4" t="inlineStr">
        <is>
          <t>ROCE</t>
        </is>
      </c>
      <c r="F13" s="4" t="inlineStr">
        <is>
          <t>Payback mo</t>
        </is>
      </c>
    </row>
    <row r="14">
      <c r="A14" s="10" t="inlineStr">
        <is>
          <t>Underwritten  (AOV at breakeven)</t>
        </is>
      </c>
      <c r="B14" s="10" t="n">
        <v>571</v>
      </c>
      <c r="C14" s="10" t="n">
        <v>-0</v>
      </c>
      <c r="D14" s="10" t="n">
        <v>6.38</v>
      </c>
      <c r="E14" s="10" t="n">
        <v>-0</v>
      </c>
      <c r="F14" s="10" t="inlineStr">
        <is>
          <t>—</t>
        </is>
      </c>
    </row>
    <row r="15">
      <c r="A15" s="10" t="inlineStr">
        <is>
          <t>Basket at 30% non-grocery</t>
        </is>
      </c>
      <c r="B15" s="10" t="n">
        <v>729</v>
      </c>
      <c r="C15" s="10" t="n">
        <v>4.22</v>
      </c>
      <c r="D15" s="10" t="n">
        <v>8.15</v>
      </c>
      <c r="E15" s="10" t="n">
        <v>34.4</v>
      </c>
      <c r="F15" s="10" t="n">
        <v>25</v>
      </c>
    </row>
    <row r="16">
      <c r="A16" s="10" t="inlineStr">
        <is>
          <t>Basket at 40% non-grocery</t>
        </is>
      </c>
      <c r="B16" s="10" t="n">
        <v>842</v>
      </c>
      <c r="C16" s="10" t="n">
        <v>6.25</v>
      </c>
      <c r="D16" s="10" t="n">
        <v>9.41</v>
      </c>
      <c r="E16" s="10" t="n">
        <v>58.8</v>
      </c>
      <c r="F16" s="10" t="n">
        <v>15</v>
      </c>
    </row>
    <row r="17">
      <c r="A17" s="10" t="inlineStr">
        <is>
          <t>Basket at 30%, volume -30%</t>
        </is>
      </c>
      <c r="B17" s="10" t="n">
        <v>729</v>
      </c>
      <c r="C17" s="10" t="n">
        <v>2.46</v>
      </c>
      <c r="D17" s="10" t="n">
        <v>5.71</v>
      </c>
      <c r="E17" s="10" t="n">
        <v>14</v>
      </c>
      <c r="F17" s="10" t="n">
        <v>62</v>
      </c>
    </row>
    <row r="19">
      <c r="A19" s="3" t="inlineStr">
        <is>
          <t>THE LIMIT: at a 30% basket with volume -30%, ROCE is 14.0% and payback runs to 62 months against a 60-month life. The node does not pay back within its life under that combination, which is why day 90 measures volume first.</t>
        </is>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12"/>
  <sheetViews>
    <sheetView showGridLines="0" workbookViewId="0">
      <selection activeCell="A1" sqref="A1"/>
    </sheetView>
  </sheetViews>
  <sheetFormatPr baseColWidth="8" defaultRowHeight="15"/>
  <cols>
    <col width="34" customWidth="1" min="1" max="1"/>
    <col width="18" customWidth="1" min="2" max="2"/>
    <col width="52" customWidth="1" min="3" max="3"/>
  </cols>
  <sheetData>
    <row r="1" ht="22" customHeight="1">
      <c r="A1" s="1" t="inlineStr">
        <is>
          <t>The academic dead zone, priced</t>
        </is>
      </c>
    </row>
    <row r="2" ht="26" customHeight="1">
      <c r="A2" s="2" t="inlineStr">
        <is>
          <t>A 3.5-month break with no students. Five strategies, one basis. Repurpose fills the node from the adjacent catchment rather than mothballing it.</t>
        </is>
      </c>
    </row>
    <row r="4" ht="18" customHeight="1">
      <c r="A4" s="4" t="inlineStr">
        <is>
          <t>Restart credit state</t>
        </is>
      </c>
      <c r="B4" s="4" t="inlineStr">
        <is>
          <t>Working capital</t>
        </is>
      </c>
      <c r="C4" s="4" t="inlineStr">
        <is>
          <t>Note</t>
        </is>
      </c>
    </row>
    <row r="5">
      <c r="A5" s="10" t="inlineStr">
        <is>
          <t>credit intact</t>
        </is>
      </c>
      <c r="B5" s="10" t="n">
        <v>0</v>
      </c>
      <c r="C5" s="10" t="inlineStr">
        <is>
          <t>suppliers resume terms; the rebuild is payables-funded</t>
        </is>
      </c>
    </row>
    <row r="6">
      <c r="A6" s="10" t="inlineStr">
        <is>
          <t>30-day reset</t>
        </is>
      </c>
      <c r="B6" s="10" t="n">
        <v>37.8</v>
      </c>
      <c r="C6" s="10" t="inlineStr">
        <is>
          <t>partially self-funded while terms re-establish</t>
        </is>
      </c>
    </row>
    <row r="7">
      <c r="A7" s="8" t="inlineStr">
        <is>
          <t>full reset (ADOPTED)</t>
        </is>
      </c>
      <c r="B7" s="8" t="n">
        <v>75.5</v>
      </c>
      <c r="C7" s="8" t="inlineStr">
        <is>
          <t>the whole 60-day cycle self-funded — the downside</t>
        </is>
      </c>
    </row>
    <row r="9">
      <c r="A9" s="9" t="inlineStr">
        <is>
          <t>Working-capital constructs</t>
        </is>
      </c>
      <c r="B9" s="9" t="n"/>
      <c r="C9" s="9" t="n"/>
    </row>
    <row r="10">
      <c r="A10" s="10" t="inlineStr">
        <is>
          <t>NWC days x NOV (14d)</t>
        </is>
      </c>
      <c r="B10" s="10" t="n">
        <v>88.90000000000001</v>
      </c>
      <c r="C10" s="10" t="inlineStr">
        <is>
          <t>ADOPTED</t>
        </is>
      </c>
    </row>
    <row r="11">
      <c r="A11" s="10" t="inlineStr">
        <is>
          <t>12-day steady state</t>
        </is>
      </c>
      <c r="B11" s="10" t="n">
        <v>76.2</v>
      </c>
      <c r="C11" s="10" t="inlineStr">
        <is>
          <t>sensitivity</t>
        </is>
      </c>
    </row>
    <row r="12">
      <c r="A12" s="10" t="inlineStr">
        <is>
          <t>COGS x 18 days</t>
        </is>
      </c>
      <c r="B12" s="10" t="n">
        <v>116.4</v>
      </c>
      <c r="C12" s="10" t="inlineStr">
        <is>
          <t>REJECTED — double-counts the netting</t>
        </is>
      </c>
    </row>
  </sheetData>
  <mergeCells count="1">
    <mergeCell ref="A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34" customWidth="1" min="1" max="1"/>
    <col width="16" customWidth="1" min="2" max="2"/>
    <col width="46" customWidth="1" min="3" max="3"/>
  </cols>
  <sheetData>
    <row r="1" ht="22" customHeight="1">
      <c r="A1" s="1" t="inlineStr">
        <is>
          <t>Priced shocks, against the deck spine</t>
        </is>
      </c>
    </row>
    <row r="2" ht="26" customHeight="1">
      <c r="A2" s="2" t="inlineStr">
        <is>
          <t>Each shock is re-solved for the AOV it would require, on the same D2-consistent basis as the spine. One combined case moves two variables together.</t>
        </is>
      </c>
    </row>
    <row r="4" ht="18" customHeight="1">
      <c r="A4" s="4" t="inlineStr">
        <is>
          <t>Shock</t>
        </is>
      </c>
      <c r="B4" s="4" t="inlineStr">
        <is>
          <t>Breakeven AOV</t>
        </is>
      </c>
      <c r="C4" s="4" t="inlineStr">
        <is>
          <t>Basis</t>
        </is>
      </c>
    </row>
    <row r="5">
      <c r="A5" s="8" t="inlineStr">
        <is>
          <t>Volume -30%</t>
        </is>
      </c>
      <c r="B5" s="8" t="n">
        <v>640</v>
      </c>
      <c r="C5" s="8" t="inlineStr">
        <is>
          <t>thinner fixed-base absorption</t>
        </is>
      </c>
    </row>
    <row r="6">
      <c r="A6" s="8" t="inlineStr">
        <is>
          <t>Shrinkage, upper bound</t>
        </is>
      </c>
      <c r="B6" s="8" t="n">
        <v>615</v>
      </c>
      <c r="C6" s="8" t="inlineStr">
        <is>
          <t>1.8% of NOV</t>
        </is>
      </c>
    </row>
    <row r="7">
      <c r="A7" s="8" t="inlineStr">
        <is>
          <t>Gig social-security levy</t>
        </is>
      </c>
      <c r="B7" s="8" t="n">
        <v>588</v>
      </c>
      <c r="C7" s="8" t="inlineStr">
        <is>
          <t>201st Parliamentary report</t>
        </is>
      </c>
    </row>
    <row r="8">
      <c r="A8" s="8" t="inlineStr">
        <is>
          <t>Calendar fragmentation</t>
        </is>
      </c>
      <c r="B8" s="8" t="n">
        <v>582</v>
      </c>
      <c r="C8" s="8" t="inlineStr">
        <is>
          <t>shape of the break, not its length</t>
        </is>
      </c>
    </row>
    <row r="10">
      <c r="A10" s="3" t="inlineStr">
        <is>
          <t>Deck spine for comparison: Rs573</t>
        </is>
      </c>
    </row>
  </sheetData>
  <mergeCells count="1">
    <mergeCell ref="A2:H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11"/>
  <sheetViews>
    <sheetView showGridLines="0" workbookViewId="0">
      <selection activeCell="A1" sqref="A1"/>
    </sheetView>
  </sheetViews>
  <sheetFormatPr baseColWidth="8" defaultRowHeight="15"/>
  <cols>
    <col width="42" customWidth="1" min="1" max="1"/>
    <col width="14" customWidth="1" min="2" max="2"/>
    <col width="46" customWidth="1" min="3" max="3"/>
  </cols>
  <sheetData>
    <row r="1" ht="22" customHeight="1">
      <c r="A1" s="1" t="inlineStr">
        <is>
          <t>The site screen — districts, not sites</t>
        </is>
      </c>
    </row>
    <row r="2" ht="26" customHeight="1">
      <c r="A2" s="2" t="inlineStr">
        <is>
          <t>A desktop screen over the AISHE register. It ranks candidates; siting still runs the cluster test on the ground.</t>
        </is>
      </c>
    </row>
    <row r="4" ht="18" customHeight="1">
      <c r="A4" s="4" t="inlineStr">
        <is>
          <t>Step</t>
        </is>
      </c>
      <c r="B4" s="4" t="inlineStr">
        <is>
          <t>Count</t>
        </is>
      </c>
      <c r="C4" s="4" t="inlineStr">
        <is>
          <t>Note</t>
        </is>
      </c>
    </row>
    <row r="5">
      <c r="A5" s="8" t="inlineStr">
        <is>
          <t>Institutions in the register</t>
        </is>
      </c>
      <c r="B5" s="8" t="n">
        <v>72352</v>
      </c>
      <c r="C5" s="8" t="inlineStr">
        <is>
          <t>AISHE, as on 28-8-2026</t>
        </is>
      </c>
    </row>
    <row r="6">
      <c r="A6" s="8" t="inlineStr">
        <is>
          <t>Colleges only</t>
        </is>
      </c>
      <c r="B6" s="8" t="n">
        <v>54014</v>
      </c>
      <c r="C6" s="8" t="inlineStr">
        <is>
          <t>colleges</t>
        </is>
      </c>
    </row>
    <row r="7">
      <c r="A7" s="8" t="inlineStr">
        <is>
          <t>Urban colleges</t>
        </is>
      </c>
      <c r="B7" s="8" t="n">
        <v>21000</v>
      </c>
      <c r="C7" s="8" t="inlineStr">
        <is>
          <t>urban flag</t>
        </is>
      </c>
    </row>
    <row r="8">
      <c r="A8" s="8" t="inlineStr">
        <is>
          <t>Districts passing four criteria</t>
        </is>
      </c>
      <c r="B8" s="8" t="n">
        <v>111</v>
      </c>
      <c r="C8" s="8" t="inlineStr">
        <is>
          <t>of 765 (State, District) pairs</t>
        </is>
      </c>
    </row>
    <row r="9">
      <c r="A9" s="8" t="inlineStr">
        <is>
          <t>Uncontested</t>
        </is>
      </c>
      <c r="B9" s="8" t="n">
        <v>9</v>
      </c>
      <c r="C9" s="8" t="inlineStr">
        <is>
          <t>the screen's own floor: 6-7 urban colleges</t>
        </is>
      </c>
    </row>
    <row r="10">
      <c r="A10" s="8" t="inlineStr">
        <is>
          <t>Contested</t>
        </is>
      </c>
      <c r="B10" s="8" t="n">
        <v>22</v>
      </c>
      <c r="C10" s="8" t="inlineStr"/>
    </row>
    <row r="11">
      <c r="A11" s="8" t="inlineStr">
        <is>
          <t>Stacked</t>
        </is>
      </c>
      <c r="B11" s="8" t="n">
        <v>80</v>
      </c>
      <c r="C11" s="8" t="inlineStr"/>
    </row>
  </sheetData>
  <mergeCells count="1">
    <mergeCell ref="A2:H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13"/>
  <sheetViews>
    <sheetView showGridLines="0" workbookViewId="0">
      <selection activeCell="A1" sqref="A1"/>
    </sheetView>
  </sheetViews>
  <sheetFormatPr baseColWidth="8" defaultRowHeight="15"/>
  <cols>
    <col width="40" customWidth="1" min="1" max="1"/>
    <col width="70" customWidth="1" min="2" max="2"/>
  </cols>
  <sheetData>
    <row r="1" ht="22" customHeight="1">
      <c r="A1" s="1" t="inlineStr">
        <is>
          <t>How this package checks itself</t>
        </is>
      </c>
    </row>
    <row r="2" ht="26" customHeight="1">
      <c r="A2" s="2" t="inlineStr">
        <is>
          <t>5 verification layers plus four source scans. Absence checks matter as much as presence: ones: a superseded figure in a panel nothing reads is invisible to a positive check.</t>
        </is>
      </c>
    </row>
    <row r="4" ht="18" customHeight="1">
      <c r="A4" s="4" t="inlineStr">
        <is>
          <t>Guard</t>
        </is>
      </c>
      <c r="B4" s="4" t="inlineStr">
        <is>
          <t>What it catches</t>
        </is>
      </c>
    </row>
    <row r="5">
      <c r="A5" s="10" t="inlineStr">
        <is>
          <t>params.py</t>
        </is>
      </c>
      <c r="B5" s="10" t="inlineStr">
        <is>
          <t>a contested policy constant defined more than once</t>
        </is>
      </c>
    </row>
    <row r="6">
      <c r="A6" s="10" t="inlineStr">
        <is>
          <t>verify_artifacts.py</t>
        </is>
      </c>
      <c r="B6" s="10" t="inlineStr">
        <is>
          <t>a stale figure in the workbook, notebooks or asset manifest</t>
        </is>
      </c>
    </row>
    <row r="7">
      <c r="A7" s="10" t="inlineStr">
        <is>
          <t>recon(a, b)</t>
        </is>
      </c>
      <c r="B7" s="10" t="inlineStr">
        <is>
          <t>two modules computing the same quantity under different policies</t>
        </is>
      </c>
    </row>
    <row r="8">
      <c r="A8" s="10" t="inlineStr">
        <is>
          <t>phrase bans</t>
        </is>
      </c>
      <c r="B8" s="10" t="inlineStr">
        <is>
          <t>wording the deck must not contain, including attribution</t>
        </is>
      </c>
    </row>
    <row r="9">
      <c r="A9" s="10" t="inlineStr">
        <is>
          <t>superseded-value bans</t>
        </is>
      </c>
      <c r="B9" s="10" t="inlineStr">
        <is>
          <t>a pre-correction figure surviving in any panel</t>
        </is>
      </c>
    </row>
    <row r="10">
      <c r="A10" s="10" t="inlineStr">
        <is>
          <t>duplicate-registration guard</t>
        </is>
      </c>
      <c r="B10" s="10" t="inlineStr">
        <is>
          <t>a check registered twice, inflating the count</t>
        </is>
      </c>
    </row>
    <row r="11">
      <c r="A11" s="10" t="inlineStr">
        <is>
          <t>stale-basis scan</t>
        </is>
      </c>
      <c r="B11" s="10" t="inlineStr">
        <is>
          <t>a superseded value used as a literal cost basis, defaults included</t>
        </is>
      </c>
    </row>
    <row r="12">
      <c r="A12" s="10" t="inlineStr">
        <is>
          <t>document scan</t>
        </is>
      </c>
      <c r="B12" s="10" t="inlineStr">
        <is>
          <t>a superseded figure in HANDOFF, spec, build prompt or README</t>
        </is>
      </c>
    </row>
    <row r="13">
      <c r="A13" s="10" t="inlineStr">
        <is>
          <t>release.py</t>
        </is>
      </c>
      <c r="B13" s="10" t="inlineStr">
        <is>
          <t>build - verify - capture - stamp - re-verify the exact stamped file</t>
        </is>
      </c>
    </row>
  </sheetData>
  <mergeCells count="1">
    <mergeCell ref="A2:H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44"/>
  <sheetViews>
    <sheetView showGridLines="0" workbookViewId="0">
      <selection activeCell="A1" sqref="A1"/>
    </sheetView>
  </sheetViews>
  <sheetFormatPr baseColWidth="8" defaultRowHeight="15"/>
  <cols>
    <col width="26" customWidth="1" min="1" max="1"/>
    <col width="13" customWidth="1" min="2" max="2"/>
    <col width="20" customWidth="1" min="3" max="3"/>
    <col width="14" customWidth="1" min="4" max="4"/>
    <col width="20" customWidth="1" min="5" max="5"/>
    <col width="42" customWidth="1" min="6" max="6"/>
  </cols>
  <sheetData>
    <row r="1" ht="22" customHeight="1">
      <c r="A1" s="1" t="inlineStr">
        <is>
          <t>PG adjacency — evidence-gated demand and capacity</t>
        </is>
      </c>
    </row>
    <row r="2" ht="26" customHeight="1">
      <c r="A2" s="2" t="inlineStr">
        <is>
          <t>The hostel-only base case is unchanged. PG demand enters only after the evidence gate opens, and only into spare term capacity or available break-period capacity. Edit the gold pilot inputs on 1 Inputs; every output below is a live formula.</t>
        </is>
      </c>
    </row>
    <row r="4">
      <c r="A4" s="3" t="inlineStr">
        <is>
          <t>CONFIGURED SCENARIO — ZERO UNTIL THE PILOT INPUTS ARE EVIDENCED</t>
        </is>
      </c>
    </row>
    <row r="5" ht="18" customHeight="1">
      <c r="A5" s="4" t="inlineStr">
        <is>
          <t>Metric</t>
        </is>
      </c>
      <c r="B5" s="4" t="inlineStr">
        <is>
          <t>Value</t>
        </is>
      </c>
      <c r="C5" s="4" t="inlineStr">
        <is>
          <t>Unit</t>
        </is>
      </c>
      <c r="D5" s="4" t="inlineStr">
        <is>
          <t>Decision reading</t>
        </is>
      </c>
    </row>
    <row r="6">
      <c r="A6" s="11" t="inlineStr">
        <is>
          <t>PG demand evidence status</t>
        </is>
      </c>
      <c r="B6" s="11">
        <f>IF(AND('1 Inputs'!$B$19=TRUE,'1 Inputs'!$B$20&gt;0,'1 Inputs'!$B$21&gt;0,'1 Inputs'!$B$22&gt;0),"OPEN","CLOSED")</f>
        <v/>
      </c>
      <c r="C6" s="11" t="inlineStr"/>
      <c r="D6" s="11" t="inlineStr">
        <is>
          <t>CLOSED means PG contributes zero to every published return</t>
        </is>
      </c>
    </row>
    <row r="7">
      <c r="A7" s="8" t="inlineStr">
        <is>
          <t>Gross PG demand</t>
        </is>
      </c>
      <c r="B7" s="12">
        <f>IF(AND('1 Inputs'!$B$19=TRUE,'1 Inputs'!$B$20&gt;0,'1 Inputs'!$B$21&gt;0,'1 Inputs'!$B$22&gt;0),'1 Inputs'!$B$20*'1 Inputs'!$B$21*'1 Inputs'!$B$26,0)</f>
        <v/>
      </c>
      <c r="C7" s="8" t="inlineStr">
        <is>
          <t>orders/day</t>
        </is>
      </c>
      <c r="D7" s="8" t="inlineStr">
        <is>
          <t>verified beds × active-user penetration × frequency</t>
        </is>
      </c>
    </row>
    <row r="8">
      <c r="A8" s="8" t="inlineStr">
        <is>
          <t>Spare term capacity</t>
        </is>
      </c>
      <c r="B8" s="12">
        <f>MAX(0,'1 Inputs'!$B$5-'1 Inputs'!$B$25)</f>
        <v/>
      </c>
      <c r="C8" s="8" t="inlineStr">
        <is>
          <t>orders/day</t>
        </is>
      </c>
      <c r="D8" s="8" t="inlineStr">
        <is>
          <t>PG is not added above the store working ceiling</t>
        </is>
      </c>
    </row>
    <row r="9">
      <c r="A9" s="8" t="inlineStr">
        <is>
          <t>PG admitted in term</t>
        </is>
      </c>
      <c r="B9" s="12">
        <f>MIN(B7,B8)</f>
        <v/>
      </c>
      <c r="C9" s="8" t="inlineStr">
        <is>
          <t>orders/day</t>
        </is>
      </c>
      <c r="D9" s="8" t="inlineStr">
        <is>
          <t>the lower of evidenced demand and spare capacity</t>
        </is>
      </c>
    </row>
    <row r="10">
      <c r="A10" s="8" t="inlineStr">
        <is>
          <t>PG overflow / capacity trigger</t>
        </is>
      </c>
      <c r="B10" s="12">
        <f>MAX(0,B7-B9)</f>
        <v/>
      </c>
      <c r="C10" s="8" t="inlineStr">
        <is>
          <t>orders/day</t>
        </is>
      </c>
      <c r="D10" s="8" t="inlineStr">
        <is>
          <t>requires capacity expansion or remains unserved</t>
        </is>
      </c>
    </row>
    <row r="11">
      <c r="A11" s="8" t="inlineStr">
        <is>
          <t>PG admitted in academic break</t>
        </is>
      </c>
      <c r="B11" s="12">
        <f>MIN('1 Inputs'!$B$5,B7*'1 Inputs'!$B$24)</f>
        <v/>
      </c>
      <c r="C11" s="8" t="inlineStr">
        <is>
          <t>orders/day</t>
        </is>
      </c>
      <c r="D11" s="8" t="inlineStr">
        <is>
          <t>zero until break retention is measured</t>
        </is>
      </c>
    </row>
    <row r="12">
      <c r="A12" s="8" t="inlineStr">
        <is>
          <t>Weighted PG last mile</t>
        </is>
      </c>
      <c r="B12" s="13">
        <f>(1-'1 Inputs'!$B$23)*'1 Inputs'!$B$27+'1 Inputs'!$B$23*'1 Inputs'!$B$28</f>
        <v/>
      </c>
      <c r="C12" s="8" t="inlineStr">
        <is>
          <t>Rs/order</t>
        </is>
      </c>
      <c r="D12" s="8" t="inlineStr">
        <is>
          <t>doorstep/common-drop mix</t>
        </is>
      </c>
    </row>
    <row r="13">
      <c r="A13" s="8" t="inlineStr">
        <is>
          <t>PG contribution per order</t>
        </is>
      </c>
      <c r="B13" s="13">
        <f>IF('1 Inputs'!$B$22&gt;0,'1 Inputs'!$B$8*'1 Inputs'!$B$22-B12-'1 Inputs'!$B$10-'1 Inputs'!$B$11-'1 Inputs'!$B$12,0)</f>
        <v/>
      </c>
      <c r="C13" s="8" t="inlineStr">
        <is>
          <t>Rs/order</t>
        </is>
      </c>
      <c r="D13" s="8" t="inlineStr">
        <is>
          <t>same take rate and store-cost basis as the core model</t>
        </is>
      </c>
    </row>
    <row r="14">
      <c r="A14" s="8" t="inlineStr">
        <is>
          <t>Annual incremental PG orders</t>
        </is>
      </c>
      <c r="B14" s="14">
        <f>B9*'1 Inputs'!$B$30+B11*'1 Inputs'!$B$31</f>
        <v/>
      </c>
      <c r="C14" s="8" t="inlineStr">
        <is>
          <t>orders/year</t>
        </is>
      </c>
      <c r="D14" s="8" t="inlineStr">
        <is>
          <t>term spare capacity plus measured break retention</t>
        </is>
      </c>
    </row>
    <row r="15">
      <c r="A15" s="8" t="inlineStr">
        <is>
          <t>Incremental PG EBIT</t>
        </is>
      </c>
      <c r="B15" s="14">
        <f>B14*B13</f>
        <v/>
      </c>
      <c r="C15" s="8" t="inlineStr">
        <is>
          <t>Rs/year</t>
        </is>
      </c>
      <c r="D15" s="8" t="inlineStr">
        <is>
          <t>before any capacity-expansion capex</t>
        </is>
      </c>
    </row>
    <row r="16">
      <c r="A16" s="8" t="inlineStr">
        <is>
          <t>Incremental PG working capital</t>
        </is>
      </c>
      <c r="B16" s="14">
        <f>MAX(B9,B11)*'1 Inputs'!$B$22*'1 Inputs'!$B$29*'1 Inputs'!$B$15</f>
        <v/>
      </c>
      <c r="C16" s="8" t="inlineStr">
        <is>
          <t>Rs</t>
        </is>
      </c>
      <c r="D16" s="8" t="inlineStr">
        <is>
          <t>14 NWC days on incremental NOV</t>
        </is>
      </c>
    </row>
    <row r="17">
      <c r="A17" s="8" t="inlineStr">
        <is>
          <t>Base EBIT at configured hostel volume</t>
        </is>
      </c>
      <c r="B17" s="14">
        <f>('1 Inputs'!$B$8*'1 Inputs'!$B$32-'1 Inputs'!$B$13-'1 Inputs'!$B$14-'1 Inputs'!$B$10-'1 Inputs'!$B$11-'1 Inputs'!$B$12)*'1 Inputs'!$B$25*'1 Inputs'!$B$30-'1 Inputs'!$B$9*12</f>
        <v/>
      </c>
      <c r="C17" s="8" t="inlineStr">
        <is>
          <t>Rs/year</t>
        </is>
      </c>
      <c r="D17" s="8" t="inlineStr">
        <is>
          <t>30% non-grocery AOV comparison basis</t>
        </is>
      </c>
    </row>
    <row r="18">
      <c r="A18" s="8" t="inlineStr">
        <is>
          <t>Pro-forma node ROCE</t>
        </is>
      </c>
      <c r="B18" s="15">
        <f>(B17+B15)/('1 Inputs'!$B$16+'1 Inputs'!$B$15*'1 Inputs'!$B$5*'1 Inputs'!$B$32*'1 Inputs'!$B$29+B16)</f>
        <v/>
      </c>
      <c r="C18" s="8" t="inlineStr">
        <is>
          <t>%</t>
        </is>
      </c>
      <c r="D18" s="8" t="inlineStr">
        <is>
          <t>PG changes the return only after the evidence gate opens</t>
        </is>
      </c>
    </row>
    <row r="21">
      <c r="A21" s="3" t="inlineStr">
        <is>
          <t>NORMALISED CAPACITY SENSITIVITY — PER 1,000 VERIFIED OCCUPIED STUDENT BEDS</t>
        </is>
      </c>
    </row>
    <row r="22" ht="18" customHeight="1">
      <c r="A22" s="4" t="inlineStr">
        <is>
          <t>Active-user penetration</t>
        </is>
      </c>
      <c r="B22" s="4" t="inlineStr">
        <is>
          <t>Hostel orders/day</t>
        </is>
      </c>
      <c r="C22" s="4" t="inlineStr">
        <is>
          <t>Gross PG orders/day</t>
        </is>
      </c>
      <c r="D22" s="4" t="inlineStr">
        <is>
          <t>Spare capacity</t>
        </is>
      </c>
      <c r="E22" s="4" t="inlineStr">
        <is>
          <t>PG served</t>
        </is>
      </c>
      <c r="F22" s="4" t="inlineStr">
        <is>
          <t>PG overflow</t>
        </is>
      </c>
    </row>
    <row r="23">
      <c r="A23" s="16" t="n">
        <v>0.1</v>
      </c>
      <c r="B23" s="12" t="n">
        <v>1000</v>
      </c>
      <c r="C23" s="12">
        <f>1000*A23*'1 Inputs'!$B$26</f>
        <v/>
      </c>
      <c r="D23" s="12">
        <f>MAX(0,'1 Inputs'!$B$5-B23)</f>
        <v/>
      </c>
      <c r="E23" s="12">
        <f>MIN(C23,D23)</f>
        <v/>
      </c>
      <c r="F23" s="12">
        <f>MAX(0,C23-E23)</f>
        <v/>
      </c>
    </row>
    <row r="24">
      <c r="A24" s="16" t="n">
        <v>0.1</v>
      </c>
      <c r="B24" s="12" t="n">
        <v>1200</v>
      </c>
      <c r="C24" s="12">
        <f>1000*A24*'1 Inputs'!$B$26</f>
        <v/>
      </c>
      <c r="D24" s="12">
        <f>MAX(0,'1 Inputs'!$B$5-B24)</f>
        <v/>
      </c>
      <c r="E24" s="12">
        <f>MIN(C24,D24)</f>
        <v/>
      </c>
      <c r="F24" s="12">
        <f>MAX(0,C24-E24)</f>
        <v/>
      </c>
    </row>
    <row r="25">
      <c r="A25" s="16" t="n">
        <v>0.1</v>
      </c>
      <c r="B25" s="12" t="n">
        <v>1400</v>
      </c>
      <c r="C25" s="12">
        <f>1000*A25*'1 Inputs'!$B$26</f>
        <v/>
      </c>
      <c r="D25" s="12">
        <f>MAX(0,'1 Inputs'!$B$5-B25)</f>
        <v/>
      </c>
      <c r="E25" s="12">
        <f>MIN(C25,D25)</f>
        <v/>
      </c>
      <c r="F25" s="12">
        <f>MAX(0,C25-E25)</f>
        <v/>
      </c>
    </row>
    <row r="26">
      <c r="A26" s="16" t="n">
        <v>0.25</v>
      </c>
      <c r="B26" s="12" t="n">
        <v>1000</v>
      </c>
      <c r="C26" s="12">
        <f>1000*A26*'1 Inputs'!$B$26</f>
        <v/>
      </c>
      <c r="D26" s="12">
        <f>MAX(0,'1 Inputs'!$B$5-B26)</f>
        <v/>
      </c>
      <c r="E26" s="12">
        <f>MIN(C26,D26)</f>
        <v/>
      </c>
      <c r="F26" s="12">
        <f>MAX(0,C26-E26)</f>
        <v/>
      </c>
    </row>
    <row r="27">
      <c r="A27" s="16" t="n">
        <v>0.25</v>
      </c>
      <c r="B27" s="12" t="n">
        <v>1200</v>
      </c>
      <c r="C27" s="12">
        <f>1000*A27*'1 Inputs'!$B$26</f>
        <v/>
      </c>
      <c r="D27" s="12">
        <f>MAX(0,'1 Inputs'!$B$5-B27)</f>
        <v/>
      </c>
      <c r="E27" s="12">
        <f>MIN(C27,D27)</f>
        <v/>
      </c>
      <c r="F27" s="12">
        <f>MAX(0,C27-E27)</f>
        <v/>
      </c>
    </row>
    <row r="28">
      <c r="A28" s="16" t="n">
        <v>0.25</v>
      </c>
      <c r="B28" s="12" t="n">
        <v>1400</v>
      </c>
      <c r="C28" s="12">
        <f>1000*A28*'1 Inputs'!$B$26</f>
        <v/>
      </c>
      <c r="D28" s="12">
        <f>MAX(0,'1 Inputs'!$B$5-B28)</f>
        <v/>
      </c>
      <c r="E28" s="12">
        <f>MIN(C28,D28)</f>
        <v/>
      </c>
      <c r="F28" s="12">
        <f>MAX(0,C28-E28)</f>
        <v/>
      </c>
    </row>
    <row r="29">
      <c r="A29" s="16" t="n">
        <v>0.4</v>
      </c>
      <c r="B29" s="12" t="n">
        <v>1000</v>
      </c>
      <c r="C29" s="12">
        <f>1000*A29*'1 Inputs'!$B$26</f>
        <v/>
      </c>
      <c r="D29" s="12">
        <f>MAX(0,'1 Inputs'!$B$5-B29)</f>
        <v/>
      </c>
      <c r="E29" s="12">
        <f>MIN(C29,D29)</f>
        <v/>
      </c>
      <c r="F29" s="12">
        <f>MAX(0,C29-E29)</f>
        <v/>
      </c>
    </row>
    <row r="30">
      <c r="A30" s="16" t="n">
        <v>0.4</v>
      </c>
      <c r="B30" s="12" t="n">
        <v>1200</v>
      </c>
      <c r="C30" s="12">
        <f>1000*A30*'1 Inputs'!$B$26</f>
        <v/>
      </c>
      <c r="D30" s="12">
        <f>MAX(0,'1 Inputs'!$B$5-B30)</f>
        <v/>
      </c>
      <c r="E30" s="12">
        <f>MIN(C30,D30)</f>
        <v/>
      </c>
      <c r="F30" s="12">
        <f>MAX(0,C30-E30)</f>
        <v/>
      </c>
    </row>
    <row r="31">
      <c r="A31" s="16" t="n">
        <v>0.4</v>
      </c>
      <c r="B31" s="12" t="n">
        <v>1400</v>
      </c>
      <c r="C31" s="12">
        <f>1000*A31*'1 Inputs'!$B$26</f>
        <v/>
      </c>
      <c r="D31" s="12">
        <f>MAX(0,'1 Inputs'!$B$5-B31)</f>
        <v/>
      </c>
      <c r="E31" s="12">
        <f>MIN(C31,D31)</f>
        <v/>
      </c>
      <c r="F31" s="12">
        <f>MAX(0,C31-E31)</f>
        <v/>
      </c>
    </row>
    <row r="34">
      <c r="A34" s="3" t="inlineStr">
        <is>
          <t>PG UNIT ECONOMICS — EXISTING MODEL AOV REFERENCES, NOT A FORECAST</t>
        </is>
      </c>
    </row>
    <row r="35" ht="18" customHeight="1">
      <c r="A35" s="4" t="inlineStr">
        <is>
          <t>AOV reference</t>
        </is>
      </c>
      <c r="B35" s="4" t="inlineStr">
        <is>
          <t>AOV</t>
        </is>
      </c>
      <c r="C35" s="4" t="inlineStr">
        <is>
          <t>Common-drop share</t>
        </is>
      </c>
      <c r="D35" s="4" t="inlineStr">
        <is>
          <t>Last mile</t>
        </is>
      </c>
      <c r="E35" s="4" t="inlineStr">
        <is>
          <t>Contribution/order</t>
        </is>
      </c>
      <c r="F35" s="4" t="inlineStr">
        <is>
          <t>Reading</t>
        </is>
      </c>
    </row>
    <row r="36">
      <c r="A36" s="8" t="inlineStr">
        <is>
          <t>Minutes current midpoint</t>
        </is>
      </c>
      <c r="B36" s="13" t="n">
        <v>450</v>
      </c>
      <c r="C36" s="16" t="n">
        <v>0</v>
      </c>
      <c r="D36" s="13">
        <f>(1-C36)*'1 Inputs'!$B$27+C36*'1 Inputs'!$B$28</f>
        <v/>
      </c>
      <c r="E36" s="13">
        <f>'1 Inputs'!$B$8*B36-D36-'1 Inputs'!$B$10-'1 Inputs'!$B$11-'1 Inputs'!$B$12</f>
        <v/>
      </c>
      <c r="F36" s="8">
        <f>IF(E36&gt;0,"positive before fixed cost","does not cover variable cost")</f>
        <v/>
      </c>
    </row>
    <row r="37">
      <c r="A37" s="8" t="inlineStr">
        <is>
          <t>Minutes current midpoint</t>
        </is>
      </c>
      <c r="B37" s="13" t="n">
        <v>450</v>
      </c>
      <c r="C37" s="16" t="n">
        <v>0.5</v>
      </c>
      <c r="D37" s="13">
        <f>(1-C37)*'1 Inputs'!$B$27+C37*'1 Inputs'!$B$28</f>
        <v/>
      </c>
      <c r="E37" s="13">
        <f>'1 Inputs'!$B$8*B37-D37-'1 Inputs'!$B$10-'1 Inputs'!$B$11-'1 Inputs'!$B$12</f>
        <v/>
      </c>
      <c r="F37" s="8">
        <f>IF(E37&gt;0,"positive before fixed cost","does not cover variable cost")</f>
        <v/>
      </c>
    </row>
    <row r="38">
      <c r="A38" s="8" t="inlineStr">
        <is>
          <t>Minutes current midpoint</t>
        </is>
      </c>
      <c r="B38" s="13" t="n">
        <v>450</v>
      </c>
      <c r="C38" s="16" t="n">
        <v>1</v>
      </c>
      <c r="D38" s="13">
        <f>(1-C38)*'1 Inputs'!$B$27+C38*'1 Inputs'!$B$28</f>
        <v/>
      </c>
      <c r="E38" s="13">
        <f>'1 Inputs'!$B$8*B38-D38-'1 Inputs'!$B$10-'1 Inputs'!$B$11-'1 Inputs'!$B$12</f>
        <v/>
      </c>
      <c r="F38" s="8">
        <f>IF(E38&gt;0,"positive before fixed cost","does not cover variable cost")</f>
        <v/>
      </c>
    </row>
    <row r="39">
      <c r="A39" s="8" t="inlineStr">
        <is>
          <t>Campus spine breakeven</t>
        </is>
      </c>
      <c r="B39" s="13" t="n">
        <v>573.0960959462569</v>
      </c>
      <c r="C39" s="16" t="n">
        <v>0</v>
      </c>
      <c r="D39" s="13">
        <f>(1-C39)*'1 Inputs'!$B$27+C39*'1 Inputs'!$B$28</f>
        <v/>
      </c>
      <c r="E39" s="13">
        <f>'1 Inputs'!$B$8*B39-D39-'1 Inputs'!$B$10-'1 Inputs'!$B$11-'1 Inputs'!$B$12</f>
        <v/>
      </c>
      <c r="F39" s="8">
        <f>IF(E39&gt;0,"positive before fixed cost","does not cover variable cost")</f>
        <v/>
      </c>
    </row>
    <row r="40">
      <c r="A40" s="8" t="inlineStr">
        <is>
          <t>Campus spine breakeven</t>
        </is>
      </c>
      <c r="B40" s="13" t="n">
        <v>573.0960959462569</v>
      </c>
      <c r="C40" s="16" t="n">
        <v>0.5</v>
      </c>
      <c r="D40" s="13">
        <f>(1-C40)*'1 Inputs'!$B$27+C40*'1 Inputs'!$B$28</f>
        <v/>
      </c>
      <c r="E40" s="13">
        <f>'1 Inputs'!$B$8*B40-D40-'1 Inputs'!$B$10-'1 Inputs'!$B$11-'1 Inputs'!$B$12</f>
        <v/>
      </c>
      <c r="F40" s="8">
        <f>IF(E40&gt;0,"positive before fixed cost","does not cover variable cost")</f>
        <v/>
      </c>
    </row>
    <row r="41">
      <c r="A41" s="8" t="inlineStr">
        <is>
          <t>Campus spine breakeven</t>
        </is>
      </c>
      <c r="B41" s="13" t="n">
        <v>573.0960959462569</v>
      </c>
      <c r="C41" s="16" t="n">
        <v>1</v>
      </c>
      <c r="D41" s="13">
        <f>(1-C41)*'1 Inputs'!$B$27+C41*'1 Inputs'!$B$28</f>
        <v/>
      </c>
      <c r="E41" s="13">
        <f>'1 Inputs'!$B$8*B41-D41-'1 Inputs'!$B$10-'1 Inputs'!$B$11-'1 Inputs'!$B$12</f>
        <v/>
      </c>
      <c r="F41" s="8">
        <f>IF(E41&gt;0,"positive before fixed cost","does not cover variable cost")</f>
        <v/>
      </c>
    </row>
    <row r="42">
      <c r="A42" s="8" t="inlineStr">
        <is>
          <t>30% non-grocery basket</t>
        </is>
      </c>
      <c r="B42" s="13" t="n">
        <v>729.383462929356</v>
      </c>
      <c r="C42" s="16" t="n">
        <v>0</v>
      </c>
      <c r="D42" s="13">
        <f>(1-C42)*'1 Inputs'!$B$27+C42*'1 Inputs'!$B$28</f>
        <v/>
      </c>
      <c r="E42" s="13">
        <f>'1 Inputs'!$B$8*B42-D42-'1 Inputs'!$B$10-'1 Inputs'!$B$11-'1 Inputs'!$B$12</f>
        <v/>
      </c>
      <c r="F42" s="8">
        <f>IF(E42&gt;0,"positive before fixed cost","does not cover variable cost")</f>
        <v/>
      </c>
    </row>
    <row r="43">
      <c r="A43" s="8" t="inlineStr">
        <is>
          <t>30% non-grocery basket</t>
        </is>
      </c>
      <c r="B43" s="13" t="n">
        <v>729.383462929356</v>
      </c>
      <c r="C43" s="16" t="n">
        <v>0.5</v>
      </c>
      <c r="D43" s="13">
        <f>(1-C43)*'1 Inputs'!$B$27+C43*'1 Inputs'!$B$28</f>
        <v/>
      </c>
      <c r="E43" s="13">
        <f>'1 Inputs'!$B$8*B43-D43-'1 Inputs'!$B$10-'1 Inputs'!$B$11-'1 Inputs'!$B$12</f>
        <v/>
      </c>
      <c r="F43" s="8">
        <f>IF(E43&gt;0,"positive before fixed cost","does not cover variable cost")</f>
        <v/>
      </c>
    </row>
    <row r="44">
      <c r="A44" s="8" t="inlineStr">
        <is>
          <t>30% non-grocery basket</t>
        </is>
      </c>
      <c r="B44" s="13" t="n">
        <v>729.383462929356</v>
      </c>
      <c r="C44" s="16" t="n">
        <v>1</v>
      </c>
      <c r="D44" s="13">
        <f>(1-C44)*'1 Inputs'!$B$27+C44*'1 Inputs'!$B$28</f>
        <v/>
      </c>
      <c r="E44" s="13">
        <f>'1 Inputs'!$B$8*B44-D44-'1 Inputs'!$B$10-'1 Inputs'!$B$11-'1 Inputs'!$B$12</f>
        <v/>
      </c>
      <c r="F44" s="8">
        <f>IF(E44&gt;0,"positive before fixed cost","does not cover variable cost")</f>
        <v/>
      </c>
    </row>
  </sheetData>
  <mergeCells count="1">
    <mergeCell ref="A2:H2"/>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36"/>
  <sheetViews>
    <sheetView showGridLines="0" workbookViewId="0">
      <selection activeCell="A1" sqref="A1"/>
    </sheetView>
  </sheetViews>
  <sheetFormatPr baseColWidth="8" defaultRowHeight="15"/>
  <cols>
    <col width="38" customWidth="1" min="1" max="1"/>
    <col width="72" customWidth="1" min="2" max="2"/>
    <col width="15" customWidth="1" min="3" max="3"/>
    <col width="15" customWidth="1" min="4" max="4"/>
    <col width="15" customWidth="1" min="5" max="5"/>
    <col width="15" customWidth="1" min="6" max="6"/>
    <col width="15" customWidth="1" min="7" max="7"/>
    <col width="18" customWidth="1" min="8" max="8"/>
  </cols>
  <sheetData>
    <row r="1" ht="22" customHeight="1">
      <c r="A1" s="1" t="inlineStr">
        <is>
          <t>Assortment — demand-state local range, wide network promise</t>
        </is>
      </c>
    </row>
    <row r="2" ht="26" customHeight="1">
      <c r="A2" s="2" t="inlineStr">
        <is>
          <t>The optimiser changes what is held locally, not what the Minutes network can offer. All 16,500 network SKUs remain available through SDFC backfill. Financial savings remain zero until the gold pilot inputs on 1 Inputs are evidenced and explicitly promoted.</t>
        </is>
      </c>
    </row>
    <row r="4">
      <c r="A4" s="3" t="inlineStr">
        <is>
          <t>FINANCIAL PROMOTION GATE</t>
        </is>
      </c>
    </row>
    <row r="5" ht="18" customHeight="1">
      <c r="A5" s="4" t="inlineStr">
        <is>
          <t>Metric</t>
        </is>
      </c>
      <c r="B5" s="4" t="inlineStr">
        <is>
          <t>Value</t>
        </is>
      </c>
      <c r="C5" s="4" t="inlineStr">
        <is>
          <t>Decision reading</t>
        </is>
      </c>
    </row>
    <row r="6">
      <c r="A6" s="11" t="inlineStr">
        <is>
          <t>Evidence status</t>
        </is>
      </c>
      <c r="B6" s="11">
        <f>IF(AND('1 Inputs'!$B$33=TRUE,OR('1 Inputs'!$B$34&gt;0,'1 Inputs'!$B$35&gt;0,'1 Inputs'!$B$36&gt;0)),"OPEN","CLOSED")</f>
        <v/>
      </c>
      <c r="C6" s="11" t="inlineStr">
        <is>
          <t>CLOSED means no assortment saving enters the published solver</t>
        </is>
      </c>
    </row>
    <row r="7">
      <c r="A7" s="8" t="inlineStr">
        <is>
          <t>Incremental monthly opex saving</t>
        </is>
      </c>
      <c r="B7" s="14">
        <f>IF(B6="OPEN",'1 Inputs'!$B$34+'1 Inputs'!$B$35,0)</f>
        <v/>
      </c>
      <c r="C7" s="8" t="inlineStr">
        <is>
          <t>excludes the cold-power saving already in break_mode.cfg_cold</t>
        </is>
      </c>
    </row>
    <row r="8">
      <c r="A8" s="8" t="inlineStr">
        <is>
          <t>One-time NWC release</t>
        </is>
      </c>
      <c r="B8" s="14">
        <f>IF(B6="OPEN",'1 Inputs'!$B$36,0)</f>
        <v/>
      </c>
      <c r="C8" s="8" t="inlineStr">
        <is>
          <t>cash timing only; not EBIT</t>
        </is>
      </c>
    </row>
    <row r="9">
      <c r="A9" s="17" t="inlineStr">
        <is>
          <t>Promoted to solver</t>
        </is>
      </c>
      <c r="B9" s="17" t="inlineStr">
        <is>
          <t>NO</t>
        </is>
      </c>
      <c r="C9" s="17" t="inlineStr">
        <is>
          <t>requires a separate reviewed promotion decision</t>
        </is>
      </c>
    </row>
    <row r="12">
      <c r="A12" s="3" t="inlineStr">
        <is>
          <t>OPTIMISED LOCAL SKU ALLOCATION</t>
        </is>
      </c>
    </row>
    <row r="13" ht="18" customHeight="1">
      <c r="A13" s="4" t="inlineStr">
        <is>
          <t>Category</t>
        </is>
      </c>
      <c r="B13" s="4" t="inlineStr">
        <is>
          <t>Temperature</t>
        </is>
      </c>
      <c r="C13" s="4" t="inlineStr">
        <is>
          <t>Trough</t>
        </is>
      </c>
      <c r="D13" s="4" t="inlineStr">
        <is>
          <t>Average</t>
        </is>
      </c>
      <c r="E13" s="4" t="inlineStr">
        <is>
          <t>Peak</t>
        </is>
      </c>
      <c r="F13" s="4" t="inlineStr">
        <is>
          <t>Exam</t>
        </is>
      </c>
      <c r="G13" s="4" t="inlineStr">
        <is>
          <t>Break</t>
        </is>
      </c>
      <c r="H13" s="4" t="inlineStr">
        <is>
          <t>Evidence</t>
        </is>
      </c>
    </row>
    <row r="14">
      <c r="A14" s="8" t="inlineStr">
        <is>
          <t>Ambient staples</t>
        </is>
      </c>
      <c r="B14" s="8" t="inlineStr">
        <is>
          <t>ambient</t>
        </is>
      </c>
      <c r="C14" s="14" t="n">
        <v>2757</v>
      </c>
      <c r="D14" s="14" t="n">
        <v>2965</v>
      </c>
      <c r="E14" s="14" t="n">
        <v>2734</v>
      </c>
      <c r="F14" s="14" t="n">
        <v>2650</v>
      </c>
      <c r="G14" s="14" t="n">
        <v>2268</v>
      </c>
      <c r="H14" s="8" t="inlineStr">
        <is>
          <t>A — policy</t>
        </is>
      </c>
    </row>
    <row r="15">
      <c r="A15" s="8" t="inlineStr">
        <is>
          <t>Chilled / ready-to-eat</t>
        </is>
      </c>
      <c r="B15" s="8" t="inlineStr">
        <is>
          <t>chilled</t>
        </is>
      </c>
      <c r="C15" s="14" t="n">
        <v>668</v>
      </c>
      <c r="D15" s="14" t="n">
        <v>923</v>
      </c>
      <c r="E15" s="14" t="n">
        <v>1067</v>
      </c>
      <c r="F15" s="14" t="n">
        <v>934</v>
      </c>
      <c r="G15" s="14" t="n">
        <v>250</v>
      </c>
      <c r="H15" s="8" t="inlineStr">
        <is>
          <t>A — policy</t>
        </is>
      </c>
    </row>
    <row r="16">
      <c r="A16" s="8" t="inlineStr">
        <is>
          <t>Frozen snacks</t>
        </is>
      </c>
      <c r="B16" s="8" t="inlineStr">
        <is>
          <t>frozen</t>
        </is>
      </c>
      <c r="C16" s="14" t="n">
        <v>498</v>
      </c>
      <c r="D16" s="14" t="n">
        <v>651</v>
      </c>
      <c r="E16" s="14" t="n">
        <v>799</v>
      </c>
      <c r="F16" s="14" t="n">
        <v>651</v>
      </c>
      <c r="G16" s="14" t="n">
        <v>100</v>
      </c>
      <c r="H16" s="8" t="inlineStr">
        <is>
          <t>A — policy</t>
        </is>
      </c>
    </row>
    <row r="17">
      <c r="A17" s="8" t="inlineStr">
        <is>
          <t>Fresh / perishables</t>
        </is>
      </c>
      <c r="B17" s="8" t="inlineStr">
        <is>
          <t>chilled</t>
        </is>
      </c>
      <c r="C17" s="14" t="n">
        <v>634</v>
      </c>
      <c r="D17" s="14" t="n">
        <v>726</v>
      </c>
      <c r="E17" s="14" t="n">
        <v>634</v>
      </c>
      <c r="F17" s="14" t="n">
        <v>615</v>
      </c>
      <c r="G17" s="14" t="n">
        <v>150</v>
      </c>
      <c r="H17" s="8" t="inlineStr">
        <is>
          <t>A — policy</t>
        </is>
      </c>
    </row>
    <row r="18">
      <c r="A18" s="8" t="inlineStr">
        <is>
          <t>Snacks / caffeine</t>
        </is>
      </c>
      <c r="B18" s="8" t="inlineStr">
        <is>
          <t>ambient</t>
        </is>
      </c>
      <c r="C18" s="14" t="n">
        <v>1150</v>
      </c>
      <c r="D18" s="14" t="n">
        <v>1300</v>
      </c>
      <c r="E18" s="14" t="n">
        <v>1600</v>
      </c>
      <c r="F18" s="14" t="n">
        <v>1600</v>
      </c>
      <c r="G18" s="14" t="n">
        <v>732</v>
      </c>
      <c r="H18" s="8" t="inlineStr">
        <is>
          <t>A — policy</t>
        </is>
      </c>
    </row>
    <row r="19">
      <c r="A19" s="8" t="inlineStr">
        <is>
          <t>BPC / stationery / print</t>
        </is>
      </c>
      <c r="B19" s="8" t="inlineStr">
        <is>
          <t>ambient</t>
        </is>
      </c>
      <c r="C19" s="14" t="n">
        <v>801</v>
      </c>
      <c r="D19" s="14" t="n">
        <v>801</v>
      </c>
      <c r="E19" s="14" t="n">
        <v>801</v>
      </c>
      <c r="F19" s="14" t="n">
        <v>1200</v>
      </c>
      <c r="G19" s="14" t="n">
        <v>450</v>
      </c>
      <c r="H19" s="8" t="inlineStr">
        <is>
          <t>A — policy</t>
        </is>
      </c>
    </row>
    <row r="20">
      <c r="A20" s="8" t="inlineStr">
        <is>
          <t>Local long tail</t>
        </is>
      </c>
      <c r="B20" s="8" t="inlineStr">
        <is>
          <t>ambient</t>
        </is>
      </c>
      <c r="C20" s="14" t="n">
        <v>492</v>
      </c>
      <c r="D20" s="14" t="n">
        <v>634</v>
      </c>
      <c r="E20" s="14" t="n">
        <v>365</v>
      </c>
      <c r="F20" s="14" t="n">
        <v>350</v>
      </c>
      <c r="G20" s="14" t="n">
        <v>250</v>
      </c>
      <c r="H20" s="8" t="inlineStr">
        <is>
          <t>A — policy</t>
        </is>
      </c>
    </row>
    <row r="21">
      <c r="A21" s="9" t="inlineStr">
        <is>
          <t>LOCAL SKUs</t>
        </is>
      </c>
      <c r="B21" s="9" t="inlineStr">
        <is>
          <t>—</t>
        </is>
      </c>
      <c r="C21" s="9">
        <f>SUM(C14:C20)</f>
        <v/>
      </c>
      <c r="D21" s="9">
        <f>SUM(D14:D20)</f>
        <v/>
      </c>
      <c r="E21" s="9">
        <f>SUM(E14:E20)</f>
        <v/>
      </c>
      <c r="F21" s="9">
        <f>SUM(F14:F20)</f>
        <v/>
      </c>
      <c r="G21" s="9">
        <f>SUM(G14:G20)</f>
        <v/>
      </c>
      <c r="H21" s="9" t="inlineStr">
        <is>
          <t>computed</t>
        </is>
      </c>
    </row>
    <row r="22">
      <c r="A22" s="5" t="inlineStr">
        <is>
          <t>SDFC tail</t>
        </is>
      </c>
      <c r="B22" s="5" t="inlineStr">
        <is>
          <t>—</t>
        </is>
      </c>
      <c r="C22" s="5">
        <f>16500-C21</f>
        <v/>
      </c>
      <c r="D22" s="5">
        <f>16500-D21</f>
        <v/>
      </c>
      <c r="E22" s="5">
        <f>16500-E21</f>
        <v/>
      </c>
      <c r="F22" s="5">
        <f>16500-F21</f>
        <v/>
      </c>
      <c r="G22" s="5">
        <f>16500-G21</f>
        <v/>
      </c>
      <c r="H22" s="5" t="inlineStr">
        <is>
          <t>computed</t>
        </is>
      </c>
    </row>
    <row r="23">
      <c r="A23" s="17" t="inlineStr">
        <is>
          <t>NETWORK assortment</t>
        </is>
      </c>
      <c r="B23" s="17" t="inlineStr">
        <is>
          <t>—</t>
        </is>
      </c>
      <c r="C23" s="17">
        <f>C21+C22</f>
        <v/>
      </c>
      <c r="D23" s="17">
        <f>D21+D22</f>
        <v/>
      </c>
      <c r="E23" s="17">
        <f>E21+E22</f>
        <v/>
      </c>
      <c r="F23" s="17">
        <f>F21+F22</f>
        <v/>
      </c>
      <c r="G23" s="17">
        <f>G21+G22</f>
        <v/>
      </c>
      <c r="H23" s="17" t="inlineStr">
        <is>
          <t>must remain wide</t>
        </is>
      </c>
    </row>
    <row r="24">
      <c r="A24" s="5" t="inlineStr">
        <is>
          <t>Cold SKUs</t>
        </is>
      </c>
      <c r="B24" s="5" t="inlineStr">
        <is>
          <t>—</t>
        </is>
      </c>
      <c r="C24" s="5">
        <f>SUM(C15:C17)</f>
        <v/>
      </c>
      <c r="D24" s="5">
        <f>SUM(D15:D17)</f>
        <v/>
      </c>
      <c r="E24" s="5">
        <f>SUM(E15:E17)</f>
        <v/>
      </c>
      <c r="F24" s="5">
        <f>SUM(F15:F17)</f>
        <v/>
      </c>
      <c r="G24" s="5">
        <f>SUM(G15:G17)</f>
        <v/>
      </c>
      <c r="H24" s="5" t="inlineStr">
        <is>
          <t>chilled + frozen</t>
        </is>
      </c>
    </row>
    <row r="25">
      <c r="A25" s="6" t="inlineStr">
        <is>
          <t>Local cap</t>
        </is>
      </c>
      <c r="B25" s="6" t="inlineStr">
        <is>
          <t>—</t>
        </is>
      </c>
      <c r="C25" s="6" t="n">
        <v>7000</v>
      </c>
      <c r="D25" s="6" t="n">
        <v>8000</v>
      </c>
      <c r="E25" s="6" t="n">
        <v>8000</v>
      </c>
      <c r="F25" s="6" t="n">
        <v>8000</v>
      </c>
      <c r="G25" s="6" t="n">
        <v>4200</v>
      </c>
      <c r="H25" s="6" t="inlineStr">
        <is>
          <t>hard constraint</t>
        </is>
      </c>
    </row>
    <row r="26">
      <c r="A26" s="6" t="inlineStr">
        <is>
          <t>Cold cap</t>
        </is>
      </c>
      <c r="B26" s="6" t="inlineStr">
        <is>
          <t>—</t>
        </is>
      </c>
      <c r="C26" s="6" t="n">
        <v>1800</v>
      </c>
      <c r="D26" s="6" t="n">
        <v>2300</v>
      </c>
      <c r="E26" s="6" t="n">
        <v>2500</v>
      </c>
      <c r="F26" s="6" t="n">
        <v>2200</v>
      </c>
      <c r="G26" s="6" t="n">
        <v>700</v>
      </c>
      <c r="H26" s="6" t="inlineStr">
        <is>
          <t>hard constraint</t>
        </is>
      </c>
    </row>
    <row r="27">
      <c r="A27" s="11" t="inlineStr">
        <is>
          <t>Guardrail</t>
        </is>
      </c>
      <c r="B27" s="11" t="inlineStr">
        <is>
          <t>—</t>
        </is>
      </c>
      <c r="C27" s="11">
        <f>IF(AND(C21&lt;=C25,C24&lt;=C26,C23=16500),"PASS","FAIL")</f>
        <v/>
      </c>
      <c r="D27" s="11">
        <f>IF(AND(D21&lt;=D25,D24&lt;=D26,D23=16500),"PASS","FAIL")</f>
        <v/>
      </c>
      <c r="E27" s="11">
        <f>IF(AND(E21&lt;=E25,E24&lt;=E26,E23=16500),"PASS","FAIL")</f>
        <v/>
      </c>
      <c r="F27" s="11">
        <f>IF(AND(F21&lt;=F25,F24&lt;=F26,F23=16500),"PASS","FAIL")</f>
        <v/>
      </c>
      <c r="G27" s="11">
        <f>IF(AND(G21&lt;=G25,G24&lt;=G26,G23=16500),"PASS","FAIL")</f>
        <v/>
      </c>
      <c r="H27" s="11" t="inlineStr">
        <is>
          <t>all three must hold</t>
        </is>
      </c>
    </row>
    <row r="30">
      <c r="A30" s="3" t="inlineStr">
        <is>
          <t>PILOT DATA REQUIRED BEFORE FINANCIAL PROMOTION</t>
        </is>
      </c>
    </row>
    <row r="31" ht="18" customHeight="1">
      <c r="A31" s="4" t="inlineStr">
        <is>
          <t>Input</t>
        </is>
      </c>
      <c r="B31" s="4" t="inlineStr">
        <is>
          <t>Why it matters</t>
        </is>
      </c>
    </row>
    <row r="32">
      <c r="A32" s="10" t="inlineStr">
        <is>
          <t>Category velocity by demand state</t>
        </is>
      </c>
      <c r="B32" s="10" t="inlineStr">
        <is>
          <t>replaces A-tier priorities with observed demand</t>
        </is>
      </c>
    </row>
    <row r="33">
      <c r="A33" s="10" t="inlineStr">
        <is>
          <t>Waste and markdown by category</t>
        </is>
      </c>
      <c r="B33" s="10" t="inlineStr">
        <is>
          <t>prices only genuinely avoided loss</t>
        </is>
      </c>
    </row>
    <row r="34">
      <c r="A34" s="10" t="inlineStr">
        <is>
          <t>Shelf life, case pack and replenishment lead</t>
        </is>
      </c>
      <c r="B34" s="10" t="inlineStr">
        <is>
          <t>sets safe inventory floors</t>
        </is>
      </c>
    </row>
    <row r="35">
      <c r="A35" s="10" t="inlineStr">
        <is>
          <t>Cold-zone kWh by operating mode</t>
        </is>
      </c>
      <c r="B35" s="10" t="inlineStr">
        <is>
          <t>reconciles with, rather than duplicates, cfg_cold</t>
        </is>
      </c>
    </row>
    <row r="36">
      <c r="A36" s="10" t="inlineStr">
        <is>
          <t>Stockout and fill-rate guardrails</t>
        </is>
      </c>
      <c r="B36" s="10" t="inlineStr">
        <is>
          <t>prevents cost savings from weakening the promise</t>
        </is>
      </c>
    </row>
  </sheetData>
  <mergeCells count="1">
    <mergeCell ref="A2:H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2026-08-30T21:18:50Z</dcterms:created>
  <dcterms:modified xmlns:dcterms="http://purl.org/dc/terms/" xmlns:xsi="http://www.w3.org/2001/XMLSchema-instance" xsi:type="dcterms:W3CDTF">2026-08-30T21:18:50Z</dcterms:modified>
</cp:coreProperties>
</file>