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ca2d9cbfe4d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 Read Me" sheetId="1" r:id="Rabfd771d2bef4d94"/>
    <x:sheet xmlns:r="http://schemas.openxmlformats.org/officeDocument/2006/relationships" name="1 Inputs" sheetId="2" r:id="R0bcaacc95c944f60"/>
    <x:sheet xmlns:r="http://schemas.openxmlformats.org/officeDocument/2006/relationships" name="2 Fulfilment" sheetId="3" r:id="R6fedef8e7f3a4a16"/>
    <x:sheet xmlns:r="http://schemas.openxmlformats.org/officeDocument/2006/relationships" name="3 Unit Economics" sheetId="4" r:id="R89519ab2a7d1412d"/>
    <x:sheet xmlns:r="http://schemas.openxmlformats.org/officeDocument/2006/relationships" name="4 Returns" sheetId="5" r:id="R12e7b33336a84ffe"/>
    <x:sheet xmlns:r="http://schemas.openxmlformats.org/officeDocument/2006/relationships" name="5 Dead Zone" sheetId="6" r:id="R324cc1c8175a4916"/>
    <x:sheet xmlns:r="http://schemas.openxmlformats.org/officeDocument/2006/relationships" name="6 Risks" sheetId="7" r:id="R96c89e23f9154dd0"/>
    <x:sheet xmlns:r="http://schemas.openxmlformats.org/officeDocument/2006/relationships" name="7 District Screen" sheetId="8" r:id="Rf7f64533f9024b84"/>
    <x:sheet xmlns:r="http://schemas.openxmlformats.org/officeDocument/2006/relationships" name="8 Verification" sheetId="9" r:id="R01b3e9fe35b444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0.0%"/>
    <x:numFmt numFmtId="202" formatCode="0.000"/>
    <x:numFmt numFmtId="203" formatCode="#,##0"/>
    <x:numFmt numFmtId="204" formatCode="0.00"/>
    <x:numFmt numFmtId="205" formatCode="0.0"/>
    <x:numFmt numFmtId="206" formatCode="#,##0.0"/>
    <x:numFmt numFmtId="207" formatCode="0.00&quot;x&quot;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C677D"/>
      <x:name val="Carlito"/>
    </x:font>
    <x:font>
      <x:b/>
      <x:sz val="11"/>
      <x:color rgb="FFFFFFFF"/>
      <x:name val="Carlito"/>
    </x:font>
    <x:font>
      <x:sz val="10"/>
      <x:color rgb="FF172033"/>
      <x:name val="Carlito"/>
    </x:font>
    <x:font>
      <x:b/>
      <x:sz val="10"/>
      <x:color rgb="FF0F9D58"/>
      <x:name val="Carlito"/>
    </x:font>
    <x:font>
      <x:b/>
      <x:sz val="11"/>
      <x:color rgb="FF0B1F4D"/>
      <x:name val="Carlito"/>
    </x:font>
    <x:font>
      <x:sz val="11"/>
      <x:color rgb="FF172033"/>
      <x:name val="Carlito"/>
    </x:font>
    <x:font>
      <x:sz val="10"/>
      <x:color rgb="FF1565C0"/>
      <x:name val="Carlito"/>
    </x:font>
    <x:font>
      <x:b/>
      <x:sz val="16"/>
      <x:color rgb="FFB9F6C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1F4D"/>
      </x:patternFill>
    </x:fill>
    <x:fill>
      <x:patternFill patternType="solid">
        <x:fgColor rgb="FFEAF3FF"/>
      </x:patternFill>
    </x:fill>
    <x:fill>
      <x:patternFill patternType="solid">
        <x:fgColor rgb="FF1565C0"/>
      </x:patternFill>
    </x:fill>
    <x:fill>
      <x:patternFill patternType="solid">
        <x:fgColor rgb="FFD8E9FF"/>
      </x:patternFill>
    </x:fill>
    <x:fill>
      <x:patternFill patternType="solid">
        <x:fgColor rgb="FFFFF7D6"/>
      </x:patternFill>
    </x:fill>
    <x:fill>
      <x:patternFill patternType="solid">
        <x:fgColor rgb="FFE8F1FB"/>
      </x:patternFill>
    </x:fill>
    <x:fill>
      <x:patternFill patternType="solid">
        <x:fgColor rgb="FFE8F5E9"/>
      </x:patternFill>
    </x:fill>
    <x:fill>
      <x:patternFill patternType="solid">
        <x:fgColor rgb="FFFFF1F0"/>
      </x:patternFill>
    </x:fill>
    <x:fill>
      <x:patternFill patternType="solid">
        <x:fgColor rgb="FF101827"/>
      </x:patternFill>
    </x:fill>
  </x:fills>
  <x:borders count="16">
    <x:border/>
    <x:border>
      <x:left style="thin">
        <x:color rgb="FFD9E2F2"/>
      </x:left>
      <x:right style="thin">
        <x:color rgb="FFD9E2F2"/>
      </x:right>
      <x:top style="thin">
        <x:color rgb="FFD9E2F2"/>
      </x:top>
      <x:bottom style="thin">
        <x:color rgb="FFD9E2F2"/>
      </x:bottom>
    </x:border>
    <x:border>
      <x:left style="thin">
        <x:color rgb="FFF5B700"/>
      </x:left>
      <x:top style="thin">
        <x:color rgb="FFF5B700"/>
      </x:top>
    </x:border>
    <x:border>
      <x:top style="thin">
        <x:color rgb="FFF5B700"/>
      </x:top>
    </x:border>
    <x:border>
      <x:right style="thin">
        <x:color rgb="FFF5B700"/>
      </x:right>
      <x:top style="thin">
        <x:color rgb="FFF5B700"/>
      </x:top>
    </x:border>
    <x:border>
      <x:left style="thin">
        <x:color rgb="FFF5B700"/>
      </x:left>
    </x:border>
    <x:border>
      <x:right style="thin">
        <x:color rgb="FFF5B700"/>
      </x:right>
    </x:border>
    <x:border>
      <x:left style="thin">
        <x:color rgb="FFF5B700"/>
      </x:left>
      <x:bottom style="thin">
        <x:color rgb="FFF5B700"/>
      </x:bottom>
    </x:border>
    <x:border>
      <x:bottom style="thin">
        <x:color rgb="FFF5B700"/>
      </x:bottom>
    </x:border>
    <x:border>
      <x:right style="thin">
        <x:color rgb="FFF5B700"/>
      </x:right>
      <x:bottom style="thin">
        <x:color rgb="FFF5B700"/>
      </x:bottom>
    </x:border>
    <x:border>
      <x:left style="medium">
        <x:color rgb="FF1565C0"/>
      </x:left>
      <x:top style="medium">
        <x:color rgb="FF1565C0"/>
      </x:top>
    </x:border>
    <x:border>
      <x:top style="medium">
        <x:color rgb="FF1565C0"/>
      </x:top>
    </x:border>
    <x:border>
      <x:right style="medium">
        <x:color rgb="FF1565C0"/>
      </x:right>
      <x:top style="medium">
        <x:color rgb="FF1565C0"/>
      </x:top>
    </x:border>
    <x:border>
      <x:left style="medium">
        <x:color rgb="FF1565C0"/>
      </x:left>
      <x:bottom style="medium">
        <x:color rgb="FF1565C0"/>
      </x:bottom>
    </x:border>
    <x:border>
      <x:bottom style="medium">
        <x:color rgb="FF1565C0"/>
      </x:bottom>
    </x:border>
    <x:border>
      <x:right style="medium">
        <x:color rgb="FF1565C0"/>
      </x:right>
      <x:bottom style="medium">
        <x:color rgb="FF1565C0"/>
      </x:bottom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2" xfId="0" applyNumberFormat="1" applyFont="1" applyFill="1" applyBorder="1"/>
    <x:xf numFmtId="0" fontId="7" fillId="6" borderId="3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8" xfId="0" applyNumberFormat="1" applyFont="1" applyFill="1" applyBorder="1"/>
    <x:xf numFmtId="0" fontId="7" fillId="6" borderId="9" xfId="0" applyNumberFormat="1" applyFont="1" applyFill="1" applyBorder="1"/>
    <x:xf numFmtId="0" fontId="7" fillId="6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wrapText="1"/>
    </x:xf>
    <x:xf numFmtId="0" fontId="7" fillId="6" borderId="8" xfId="0" applyNumberFormat="1" applyFont="1" applyFill="1" applyBorder="1" applyAlignment="1">
      <x:alignment wrapText="1"/>
    </x:xf>
    <x:xf numFmtId="0" fontId="7" fillId="6" borderId="9" xfId="0" applyNumberFormat="1" applyFont="1" applyFill="1" applyBorder="1" applyAlignment="1">
      <x:alignment wrapText="1"/>
    </x:xf>
    <x:xf numFmtId="0" fontId="7" fillId="6" borderId="2" xfId="0" applyNumberFormat="1" applyFont="1" applyFill="1" applyBorder="1" applyAlignment="1">
      <x:alignment vertical="center" wrapText="1"/>
    </x:xf>
    <x:xf numFmtId="0" fontId="7" fillId="6" borderId="3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 wrapText="1"/>
    </x:xf>
    <x:xf numFmtId="0" fontId="7" fillId="6" borderId="8" xfId="0" applyNumberFormat="1" applyFont="1" applyFill="1" applyBorder="1" applyAlignment="1">
      <x:alignment vertical="center" wrapText="1"/>
    </x:xf>
    <x:xf numFmtId="0" fontId="7" fillId="6" borderId="9" xfId="0" applyNumberFormat="1" applyFont="1" applyFill="1" applyBorder="1" applyAlignment="1">
      <x:alignment vertical="center" wrapText="1"/>
    </x:xf>
    <x:xf numFmtId="0" fontId="4" fillId="7" borderId="1" xfId="0" applyNumberFormat="1" applyFont="1" applyFill="1" applyBorder="1" applyAlignment="1">
      <x:alignment vertical="center"/>
    </x:xf>
    <x:xf numFmtId="0" fontId="8" fillId="7" borderId="1" xfId="0" applyNumberFormat="1" applyFont="1" applyFill="1" applyBorder="1" applyAlignment="1">
      <x:alignment vertical="center"/>
    </x:xf>
    <x:xf numFmtId="0" fontId="8" fillId="8" borderId="1" xfId="0" applyNumberFormat="1" applyFont="1" applyFill="1" applyBorder="1" applyAlignment="1">
      <x:alignment vertical="center"/>
    </x:xf>
    <x:xf numFmtId="0" fontId="5" fillId="8" borderId="1" xfId="0" applyNumberFormat="1" applyFont="1" applyFill="1" applyBorder="1" applyAlignment="1">
      <x:alignment vertical="center"/>
    </x:xf>
    <x:xf numFmtId="201" fontId="8" fillId="7" borderId="1" xfId="0" applyNumberFormat="1" applyFont="1" applyFill="1" applyBorder="1" applyAlignment="1">
      <x:alignment vertical="center"/>
    </x:xf>
    <x:xf numFmtId="202" fontId="8" fillId="7" borderId="1" xfId="0" applyNumberFormat="1" applyFont="1" applyFill="1" applyBorder="1" applyAlignment="1">
      <x:alignment vertical="center"/>
    </x:xf>
    <x:xf numFmtId="203" fontId="8" fillId="7" borderId="1" xfId="0" applyNumberFormat="1" applyFont="1" applyFill="1" applyBorder="1" applyAlignment="1">
      <x:alignment vertical="center"/>
    </x:xf>
    <x:xf numFmtId="203" fontId="5" fillId="8" borderId="1" xfId="0" applyNumberFormat="1" applyFont="1" applyFill="1" applyBorder="1" applyAlignment="1">
      <x:alignment vertical="center"/>
    </x:xf>
    <x:xf numFmtId="204" fontId="8" fillId="7" borderId="1" xfId="0" applyNumberFormat="1" applyFont="1" applyFill="1" applyBorder="1" applyAlignment="1">
      <x:alignment vertical="center"/>
    </x:xf>
    <x:xf numFmtId="204" fontId="5" fillId="8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201" fontId="4" fillId="0" borderId="1" xfId="0" applyNumberFormat="1" applyFont="1" applyFill="1" applyBorder="1" applyAlignment="1">
      <x:alignment vertical="center"/>
    </x:xf>
    <x:xf numFmtId="205" fontId="4" fillId="0" borderId="1" xfId="0" applyNumberFormat="1" applyFont="1" applyFill="1" applyBorder="1" applyAlignment="1">
      <x:alignment vertical="center"/>
    </x:xf>
    <x:xf numFmtId="204" fontId="4" fillId="0" borderId="1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4" fontId="6" fillId="8" borderId="1" xfId="0" applyNumberFormat="1" applyFont="1" applyFill="1" applyBorder="1"/>
    <x:xf numFmtId="0" fontId="4" fillId="8" borderId="1" xfId="0" applyNumberFormat="1" applyFont="1" applyFill="1" applyBorder="1" applyAlignment="1">
      <x:alignment vertical="center"/>
    </x:xf>
    <x:xf numFmtId="201" fontId="5" fillId="8" borderId="1" xfId="0" applyNumberFormat="1" applyFont="1" applyFill="1" applyBorder="1" applyAlignment="1">
      <x:alignment vertical="center"/>
    </x:xf>
    <x:xf numFmtId="206" fontId="4" fillId="0" borderId="1" xfId="0" applyNumberFormat="1" applyFont="1" applyFill="1" applyBorder="1" applyAlignment="1">
      <x:alignment vertical="center"/>
    </x:xf>
    <x:xf numFmtId="207" fontId="4" fillId="0" borderId="1" xfId="0" applyNumberFormat="1" applyFont="1" applyFill="1" applyBorder="1" applyAlignment="1">
      <x:alignment vertical="center"/>
    </x:xf>
    <x:xf numFmtId="0" fontId="4" fillId="9" borderId="1" xfId="0" applyNumberFormat="1" applyFont="1" applyFill="1" applyBorder="1" applyAlignment="1">
      <x:alignment vertical="center"/>
    </x:xf>
    <x:xf numFmtId="206" fontId="4" fillId="9" borderId="1" xfId="0" applyNumberFormat="1" applyFont="1" applyFill="1" applyBorder="1" applyAlignment="1">
      <x:alignment vertical="center"/>
    </x:xf>
    <x:xf numFmtId="201" fontId="4" fillId="9" borderId="1" xfId="0" applyNumberFormat="1" applyFont="1" applyFill="1" applyBorder="1" applyAlignment="1">
      <x:alignment vertical="center"/>
    </x:xf>
    <x:xf numFmtId="207" fontId="4" fillId="9" borderId="1" xfId="0" applyNumberFormat="1" applyFont="1" applyFill="1" applyBorder="1" applyAlignment="1">
      <x:alignment vertical="center"/>
    </x:xf>
    <x:xf numFmtId="205" fontId="4" fillId="9" borderId="1" xfId="0" applyNumberFormat="1" applyFont="1" applyFill="1" applyBorder="1" applyAlignment="1">
      <x:alignment vertical="center"/>
    </x:xf>
    <x:xf numFmtId="203" fontId="4" fillId="0" borderId="1" xfId="0" applyNumberFormat="1" applyFont="1" applyFill="1" applyBorder="1" applyAlignment="1">
      <x:alignment vertical="center"/>
    </x:xf>
    <x:xf numFmtId="203" fontId="4" fillId="8" borderId="1" xfId="0" applyNumberFormat="1" applyFont="1" applyFill="1" applyBorder="1" applyAlignment="1">
      <x:alignment vertical="center"/>
    </x:xf>
    <x:xf numFmtId="201" fontId="4" fillId="8" borderId="1" xfId="0" applyNumberFormat="1" applyFont="1" applyFill="1" applyBorder="1" applyAlignment="1">
      <x:alignment vertical="center"/>
    </x:xf>
    <x:xf numFmtId="0" fontId="5" fillId="8" borderId="1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0" xfId="0" applyNumberFormat="1" applyFont="1" applyFill="1" applyBorder="1"/>
    <x:xf numFmtId="0" fontId="9" fillId="10" borderId="11" xfId="0" applyNumberFormat="1" applyFont="1" applyFill="1" applyBorder="1"/>
    <x:xf numFmtId="0" fontId="9" fillId="10" borderId="12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9" fillId="10" borderId="15" xfId="0" applyNumberFormat="1" applyFont="1" applyFill="1" applyBorder="1"/>
    <x:xf numFmtId="0" fontId="9" fillId="10" borderId="10" xfId="0" applyNumberFormat="1" applyFont="1" applyFill="1" applyBorder="1" applyAlignment="1">
      <x:alignment horizontal="center"/>
    </x:xf>
    <x:xf numFmtId="0" fontId="9" fillId="10" borderId="11" xfId="0" applyNumberFormat="1" applyFont="1" applyFill="1" applyBorder="1" applyAlignment="1">
      <x:alignment horizontal="center"/>
    </x:xf>
    <x:xf numFmtId="0" fontId="9" fillId="10" borderId="12" xfId="0" applyNumberFormat="1" applyFont="1" applyFill="1" applyBorder="1" applyAlignment="1">
      <x:alignment horizontal="center"/>
    </x:xf>
    <x:xf numFmtId="0" fontId="9" fillId="10" borderId="13" xfId="0" applyNumberFormat="1" applyFont="1" applyFill="1" applyBorder="1" applyAlignment="1">
      <x:alignment horizontal="center"/>
    </x:xf>
    <x:xf numFmtId="0" fontId="9" fillId="10" borderId="14" xfId="0" applyNumberFormat="1" applyFont="1" applyFill="1" applyBorder="1" applyAlignment="1">
      <x:alignment horizontal="center"/>
    </x:xf>
    <x:xf numFmtId="0" fontId="9" fillId="10" borderId="15" xfId="0" applyNumberFormat="1" applyFont="1" applyFill="1" applyBorder="1" applyAlignment="1">
      <x:alignment horizontal="center"/>
    </x:xf>
    <x:xf numFmtId="0" fontId="9" fillId="10" borderId="10" xfId="0" applyNumberFormat="1" applyFont="1" applyFill="1" applyBorder="1" applyAlignment="1">
      <x:alignment horizontal="center" vertical="center"/>
    </x:xf>
    <x:xf numFmtId="0" fontId="9" fillId="10" borderId="11" xfId="0" applyNumberFormat="1" applyFont="1" applyFill="1" applyBorder="1" applyAlignment="1">
      <x:alignment horizontal="center" vertical="center"/>
    </x:xf>
    <x:xf numFmtId="0" fontId="9" fillId="10" borderId="12" xfId="0" applyNumberFormat="1" applyFont="1" applyFill="1" applyBorder="1" applyAlignment="1">
      <x:alignment horizontal="center" vertical="center"/>
    </x:xf>
    <x:xf numFmtId="0" fontId="9" fillId="10" borderId="13" xfId="0" applyNumberFormat="1" applyFont="1" applyFill="1" applyBorder="1" applyAlignment="1">
      <x:alignment horizontal="center" vertical="center"/>
    </x:xf>
    <x:xf numFmtId="0" fontId="9" fillId="10" borderId="14" xfId="0" applyNumberFormat="1" applyFont="1" applyFill="1" applyBorder="1" applyAlignment="1">
      <x:alignment horizontal="center" vertical="center"/>
    </x:xf>
    <x:xf numFmtId="0" fontId="9" fillId="10" borderId="15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46e38e33274ebb" /><Relationship Type="http://schemas.openxmlformats.org/officeDocument/2006/relationships/theme" Target="/xl/theme/theme1.xml" Id="Rfaa224537b1e44d7" /><Relationship Type="http://schemas.openxmlformats.org/officeDocument/2006/relationships/sharedStrings" Target="/xl/sharedStrings.xml" Id="Rca7ef6152a1949ca" /><Relationship Type="http://schemas.openxmlformats.org/officeDocument/2006/relationships/worksheet" Target="/xl/worksheets/sheet1.xml" Id="Rabfd771d2bef4d94" /><Relationship Type="http://schemas.openxmlformats.org/officeDocument/2006/relationships/worksheet" Target="/xl/worksheets/sheet2.xml" Id="R0bcaacc95c944f60" /><Relationship Type="http://schemas.openxmlformats.org/officeDocument/2006/relationships/worksheet" Target="/xl/worksheets/sheet3.xml" Id="R6fedef8e7f3a4a16" /><Relationship Type="http://schemas.openxmlformats.org/officeDocument/2006/relationships/worksheet" Target="/xl/worksheets/sheet4.xml" Id="R89519ab2a7d1412d" /><Relationship Type="http://schemas.openxmlformats.org/officeDocument/2006/relationships/worksheet" Target="/xl/worksheets/sheet5.xml" Id="R12e7b33336a84ffe" /><Relationship Type="http://schemas.openxmlformats.org/officeDocument/2006/relationships/worksheet" Target="/xl/worksheets/sheet6.xml" Id="R324cc1c8175a4916" /><Relationship Type="http://schemas.openxmlformats.org/officeDocument/2006/relationships/worksheet" Target="/xl/worksheets/sheet7.xml" Id="R96c89e23f9154dd0" /><Relationship Type="http://schemas.openxmlformats.org/officeDocument/2006/relationships/worksheet" Target="/xl/worksheets/sheet8.xml" Id="Rf7f64533f9024b84" /><Relationship Type="http://schemas.openxmlformats.org/officeDocument/2006/relationships/worksheet" Target="/xl/worksheets/sheet9.xml" Id="R01b3e9fe35b444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1cc3ba4cec45f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9882453765d44a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Cost per order by demand band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Total Rs/order</c:v>
          </c:tx>
          <c:spPr>
            <a:solidFill xmlns:a="http://schemas.openxmlformats.org/drawingml/2006/main">
              <a:srgbClr val="1565C0"/>
            </a:solidFill>
          </c:spPr>
          <c:cat>
            <c:strRef>
              <c:f>'2 Fulfilment'!$A$5:$A$7</c:f>
              <c:strCache>
                <c:ptCount val="0"/>
              </c:strCache>
            </c:strRef>
          </c:cat>
          <c:val>
            <c:numRef>
              <c:f>'2 Fulfilment'!$I$5:$I$7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ROCE by scenario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ROCE</c:v>
          </c:tx>
          <c:spPr>
            <a:solidFill xmlns:a="http://schemas.openxmlformats.org/drawingml/2006/main">
              <a:srgbClr val="1565C0"/>
            </a:solidFill>
          </c:spPr>
          <c:cat>
            <c:strRef>
              <c:f>'4 Returns'!$A$5:$A$8</c:f>
              <c:strCache>
                <c:ptCount val="0"/>
              </c:strCache>
            </c:strRef>
          </c:cat>
          <c:val>
            <c:numRef>
              <c:f>'4 Returns'!$I$5:$I$8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3</xdr:row>
      <xdr:rowOff>0</xdr:rowOff>
    </xdr:from>
    <xdr:to>
      <xdr:col>20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1cc3ba4cec45f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12</xdr:col>
      <xdr:colOff>0</xdr:colOff>
      <xdr:row>3</xdr:row>
      <xdr:rowOff>0</xdr:rowOff>
    </xdr:from>
    <xdr:to>
      <xdr:col>20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882453765d44a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putsTable" displayName="InputsTable" ref="A4:F41" headerRowCount="1" totalsRowCount="0" totalsRowShown="0">
  <x:tableColumns count="6">
    <x:tableColumn id="1" name="Parameter"/>
    <x:tableColumn id="2" name="Value"/>
    <x:tableColumn id="3" name="Unit"/>
    <x:tableColumn id="4" name="Tier"/>
    <x:tableColumn id="5" name="Source / derivation"/>
    <x:tableColumn id="6" name="Release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strictScreenTable" displayName="DistrictScreenTable" ref="A4:J29" headerRowCount="1" totalsRowCount="0" totalsRowShown="0">
  <x:tableColumns count="10">
    <x:tableColumn id="1" name="Rank"/>
    <x:tableColumn id="2" name="District"/>
    <x:tableColumn id="3" name="State"/>
    <x:tableColumn id="4" name="Urban colleges"/>
    <x:tableColumn id="5" name="Universities"/>
    <x:tableColumn id="6" name="High-propensity standalone"/>
    <x:tableColumn id="7" name="Urban share"/>
    <x:tableColumn id="8" name="Residential index"/>
    <x:tableColumn id="9" name="Geometry"/>
    <x:tableColumn id="10" name="Proximit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dce20b83d0473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628e74df494543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386c53ae8b374ea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2.xml" Id="R5de707f8cace45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4" hidden="0" customWidth="1"/>
  </x:cols>
  <x:sheetData>
    <x:row r="1" ht="30" customHeight="1">
      <x:c r="A1" s="3" t="str">
        <x:v>Flipkart WiRED X — Campus Node Model</x:v>
      </x:c>
      <x:c r="B1" s="3" t="str">
        <x:v>Flipkart WiRED X — Campus Node Model</x:v>
      </x:c>
      <x:c r="C1" s="3" t="str">
        <x:v>Flipkart WiRED X — Campus Node Model</x:v>
      </x:c>
      <x:c r="D1" s="3" t="str">
        <x:v>Flipkart WiRED X — Campus Node Model</x:v>
      </x:c>
      <x:c r="E1" s="3" t="str">
        <x:v>Flipkart WiRED X — Campus Node Model</x:v>
      </x:c>
      <x:c r="F1" s="3" t="str">
        <x:v>Flipkart WiRED X — Campus Node Model</x:v>
      </x:c>
    </x:row>
    <x:row r="2" ht="34" customHeight="1">
      <x:c r="A2" s="7" t="str">
        <x:v>Synchronized workbook for Team ANAVRIN. Blue cells are sourced inputs; formula cells reproduce the current model and deck.</x:v>
      </x:c>
      <x:c r="B2" s="7" t="str">
        <x:v>Synchronized workbook for Team ANAVRIN. Blue cells are sourced inputs; formula cells reproduce the current model and deck.</x:v>
      </x:c>
      <x:c r="C2" s="7" t="str">
        <x:v>Synchronized workbook for Team ANAVRIN. Blue cells are sourced inputs; formula cells reproduce the current model and deck.</x:v>
      </x:c>
      <x:c r="D2" s="7" t="str">
        <x:v>Synchronized workbook for Team ANAVRIN. Blue cells are sourced inputs; formula cells reproduce the current model and deck.</x:v>
      </x:c>
      <x:c r="E2" s="7" t="str">
        <x:v>Synchronized workbook for Team ANAVRIN. Blue cells are sourced inputs; formula cells reproduce the current model and deck.</x:v>
      </x:c>
      <x:c r="F2" s="7" t="str">
        <x:v>Synchronized workbook for Team ANAVRIN. Blue cells are sourced inputs; formula cells reproduce the current model and deck.</x:v>
      </x:c>
    </x:row>
    <x:row r="4">
      <x:c r="A4" s="12" t="str">
        <x:v>Release check</x:v>
      </x:c>
      <x:c r="B4" s="12" t="str">
        <x:v>Passed</x:v>
      </x:c>
      <x:c r="C4" s="12" t="str">
        <x:v>Defined</x:v>
      </x:c>
      <x:c r="D4" s="12" t="str">
        <x:v>Status</x:v>
      </x:c>
      <x:c r="E4" s="12" t="str">
        <x:v>Command / source</x:v>
      </x:c>
      <x:c r="F4" s="12" t="str">
        <x:v>What it checks</x:v>
      </x:c>
    </x:row>
    <x:row r="5">
      <x:c r="A5" s="15" t="str">
        <x:v>Model audit</x:v>
      </x:c>
      <x:c r="B5" s="16" t="n">
        <x:v>344</x:v>
      </x:c>
      <x:c r="C5" s="16" t="n">
        <x:v>344</x:v>
      </x:c>
      <x:c r="D5" s="18" t="str">
        <x:f>IF(B5=C5,"PASS","FAIL")</x:f>
        <x:v>PASS</x:v>
      </x:c>
      <x:c r="E5" s="15" t="str">
        <x:v>python3 Model/audit.py</x:v>
      </x:c>
      <x:c r="F5" s="15" t="str">
        <x:v>Model relationships and cross-module reconciliation</x:v>
      </x:c>
    </x:row>
    <x:row r="6">
      <x:c r="A6" s="15" t="str">
        <x:v>HANDOFF</x:v>
      </x:c>
      <x:c r="B6" s="16" t="n">
        <x:v>31</x:v>
      </x:c>
      <x:c r="C6" s="16" t="n">
        <x:v>31</x:v>
      </x:c>
      <x:c r="D6" s="18" t="str">
        <x:f>IF(B6=C6,"PASS","FAIL")</x:f>
        <x:v>PASS</x:v>
      </x:c>
      <x:c r="E6" s="15" t="str">
        <x:v>python3 Model/verify_docs.py</x:v>
      </x:c>
      <x:c r="F6" s="15" t="str">
        <x:v>Written figures against the model</x:v>
      </x:c>
    </x:row>
    <x:row r="7">
      <x:c r="A7" s="15" t="str">
        <x:v>Specification</x:v>
      </x:c>
      <x:c r="B7" s="16" t="n">
        <x:v>79</x:v>
      </x:c>
      <x:c r="C7" s="16" t="n">
        <x:v>79</x:v>
      </x:c>
      <x:c r="D7" s="18" t="str">
        <x:f>IF(B7=C7,"PASS","FAIL")</x:f>
        <x:v>PASS</x:v>
      </x:c>
      <x:c r="E7" s="15" t="str">
        <x:v>python3 Model/verify_spec.py</x:v>
      </x:c>
      <x:c r="F7" s="15" t="str">
        <x:v>Deck specification and build prompt</x:v>
      </x:c>
    </x:row>
    <x:row r="8">
      <x:c r="A8" s="15" t="str">
        <x:v>Final deck</x:v>
      </x:c>
      <x:c r="B8" s="16" t="n">
        <x:v>133</x:v>
      </x:c>
      <x:c r="C8" s="16" t="n">
        <x:v>133</x:v>
      </x:c>
      <x:c r="D8" s="18" t="str">
        <x:f>IF(B8=C8,"PASS","FAIL")</x:f>
        <x:v>PASS</x:v>
      </x:c>
      <x:c r="E8" s="15" t="str">
        <x:v>python3 Model/verify_deck.py</x:v>
      </x:c>
      <x:c r="F8" s="15" t="str">
        <x:v>Exact PowerPoint text and native-chart values</x:v>
      </x:c>
    </x:row>
    <x:row r="10" ht="22" customHeight="1">
      <x:c r="A10" s="20" t="str">
        <x:v>How to use this workbook</x:v>
      </x:c>
      <x:c r="B10" s="20" t="str">
        <x:v>How to use this workbook</x:v>
      </x:c>
      <x:c r="C10" s="20" t="str">
        <x:v>How to use this workbook</x:v>
      </x:c>
      <x:c r="D10" s="20" t="str">
        <x:v>How to use this workbook</x:v>
      </x:c>
      <x:c r="E10" s="20" t="str">
        <x:v>How to use this workbook</x:v>
      </x:c>
      <x:c r="F10" s="20" t="str">
        <x:v>How to use this workbook</x:v>
      </x:c>
    </x:row>
    <x:row r="11">
      <x:c r="A11" s="15" t="str">
        <x:v>1</x:v>
      </x:c>
      <x:c r="B11" s="15" t="str">
        <x:v>Review 1 Inputs first.</x:v>
      </x:c>
      <x:c r="C11" s="15"/>
      <x:c r="D11" s="15"/>
      <x:c r="E11" s="15"/>
      <x:c r="F11" s="15" t="str">
        <x:v>Every contested policy constant is visible with its source boundary.</x:v>
      </x:c>
    </x:row>
    <x:row r="12">
      <x:c r="A12" s="15" t="str">
        <x:v>2</x:v>
      </x:c>
      <x:c r="B12" s="15" t="str">
        <x:v>Trace formula sheets.</x:v>
      </x:c>
      <x:c r="C12" s="15"/>
      <x:c r="D12" s="15"/>
      <x:c r="E12" s="15"/>
      <x:c r="F12" s="15" t="str">
        <x:v>Unit economics, fulfilment, and returns are formula-backed.</x:v>
      </x:c>
    </x:row>
    <x:row r="13">
      <x:c r="A13" s="15" t="str">
        <x:v>3</x:v>
      </x:c>
      <x:c r="B13" s="15" t="str">
        <x:v>Use downside honestly.</x:v>
      </x:c>
      <x:c r="C13" s="15"/>
      <x:c r="D13" s="15"/>
      <x:c r="E13" s="15"/>
      <x:c r="F13" s="15" t="str">
        <x:v>The joint stress case remains above the 60-month node life.</x:v>
      </x:c>
    </x:row>
    <x:row r="14">
      <x:c r="A14" s="15" t="str">
        <x:v>4</x:v>
      </x:c>
      <x:c r="B14" s="15" t="str">
        <x:v>Run the code before sharing.</x:v>
      </x:c>
      <x:c r="C14" s="15"/>
      <x:c r="D14" s="15"/>
      <x:c r="E14" s="15"/>
      <x:c r="F14" s="15" t="str">
        <x:v>python3 Model/run_all.py must finish with ALL FOUR LAYERS PASS.</x:v>
      </x:c>
    </x:row>
    <x:row r="16" ht="22" customHeight="1">
      <x:c r="A16" s="20" t="str">
        <x:v>Public-release boundary</x:v>
      </x:c>
      <x:c r="B16" s="20" t="str">
        <x:v>Public-release boundary</x:v>
      </x:c>
      <x:c r="C16" s="20" t="str">
        <x:v>Public-release boundary</x:v>
      </x:c>
      <x:c r="D16" s="20" t="str">
        <x:v>Public-release boundary</x:v>
      </x:c>
      <x:c r="E16" s="20" t="str">
        <x:v>Public-release boundary</x:v>
      </x:c>
      <x:c r="F16" s="20" t="str">
        <x:v>Public-release boundary</x:v>
      </x:c>
    </x:row>
    <x:row r="17">
      <x:c r="A17" s="40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B17" s="41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C17" s="41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D17" s="41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E17" s="41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F17" s="42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</x:row>
    <x:row r="18">
      <x:c r="A18" s="43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B18" s="44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C18" s="44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D18" s="44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E18" s="44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F18" s="45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</x:row>
    <x:row r="19">
      <x:c r="A19" s="46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B19" s="47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C19" s="47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D19" s="47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E19" s="47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  <x:c r="F19" s="48" t="str">
        <x:v>The workbook and repository use permitted aggregate and derived inputs. Paid or licence-restricted PDFs and source tables are deliberately excluded from the public package. Possession under a paid subscription does not automatically permit public redistribution.</x:v>
      </x:c>
    </x:row>
  </x:sheetData>
  <x:mergeCells>
    <x:mergeCell ref="A1:F1"/>
    <x:mergeCell ref="A2:F2"/>
    <x:mergeCell ref="A10:F10"/>
    <x:mergeCell ref="A16:F16"/>
    <x:mergeCell ref="A17:F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36" hidden="0" customWidth="1"/>
    <x:col min="6" max="6" width="36" hidden="0" customWidth="1"/>
  </x:cols>
  <x:sheetData>
    <x:row r="1" ht="30" customHeight="1">
      <x:c r="A1" s="3" t="str">
        <x:v>Inputs and policy constants</x:v>
      </x:c>
      <x:c r="B1" s="3" t="str">
        <x:v>Inputs and policy constants</x:v>
      </x:c>
      <x:c r="C1" s="3" t="str">
        <x:v>Inputs and policy constants</x:v>
      </x:c>
      <x:c r="D1" s="3" t="str">
        <x:v>Inputs and policy constants</x:v>
      </x:c>
      <x:c r="E1" s="3" t="str">
        <x:v>Inputs and policy constants</x:v>
      </x:c>
      <x:c r="F1" s="3" t="str">
        <x:v>Inputs and policy constants</x:v>
      </x:c>
    </x:row>
    <x:row r="2" ht="34" customHeight="1">
      <x:c r="A2" s="7" t="str">
        <x:v>Values are synchronized to Model/params.py and the current public-safe model. Formula rows are green; sourced input rows are blue.</x:v>
      </x:c>
      <x:c r="B2" s="7" t="str">
        <x:v>Values are synchronized to Model/params.py and the current public-safe model. Formula rows are green; sourced input rows are blue.</x:v>
      </x:c>
      <x:c r="C2" s="7" t="str">
        <x:v>Values are synchronized to Model/params.py and the current public-safe model. Formula rows are green; sourced input rows are blue.</x:v>
      </x:c>
      <x:c r="D2" s="7" t="str">
        <x:v>Values are synchronized to Model/params.py and the current public-safe model. Formula rows are green; sourced input rows are blue.</x:v>
      </x:c>
      <x:c r="E2" s="7" t="str">
        <x:v>Values are synchronized to Model/params.py and the current public-safe model. Formula rows are green; sourced input rows are blue.</x:v>
      </x:c>
      <x:c r="F2" s="7" t="str">
        <x:v>Values are synchronized to Model/params.py and the current public-safe model. Formula rows are green; sourced input rows are blue.</x:v>
      </x:c>
    </x:row>
    <x:row r="4">
      <x:c r="A4" s="12" t="str">
        <x:v>Parameter</x:v>
      </x:c>
      <x:c r="B4" s="12" t="str">
        <x:v>Value</x:v>
      </x:c>
      <x:c r="C4" s="12" t="str">
        <x:v>Unit</x:v>
      </x:c>
      <x:c r="D4" s="12" t="str">
        <x:v>Tier</x:v>
      </x:c>
      <x:c r="E4" s="12" t="str">
        <x:v>Source / derivation</x:v>
      </x:c>
      <x:c r="F4" s="12" t="str">
        <x:v>Release note</x:v>
      </x:c>
    </x:row>
    <x:row r="5">
      <x:c r="A5" s="15" t="str">
        <x:v>Cluster volume</x:v>
      </x:c>
      <x:c r="B5" s="50" t="n">
        <x:v>1400</x:v>
      </x:c>
      <x:c r="C5" s="15" t="str">
        <x:v>orders/day</x:v>
      </x:c>
      <x:c r="D5" s="15" t="str">
        <x:v>D</x:v>
      </x:c>
      <x:c r="E5" s="15" t="str">
        <x:v>Model/params.py</x:v>
      </x:c>
      <x:c r="F5" s="15" t="str">
        <x:v>Adopted cluster plan</x:v>
      </x:c>
    </x:row>
    <x:row r="6">
      <x:c r="A6" s="15" t="str">
        <x:v>Active academic months</x:v>
      </x:c>
      <x:c r="B6" s="50" t="n">
        <x:v>8.5</x:v>
      </x:c>
      <x:c r="C6" s="15" t="str">
        <x:v>months/year</x:v>
      </x:c>
      <x:c r="D6" s="15" t="str">
        <x:v>T1</x:v>
      </x:c>
      <x:c r="E6" s="15" t="str">
        <x:v>Institutional calendars</x:v>
      </x:c>
      <x:c r="F6" s="15" t="str">
        <x:v>Term-active basis</x:v>
      </x:c>
    </x:row>
    <x:row r="7">
      <x:c r="A7" s="15" t="str">
        <x:v>Store fixed cost</x:v>
      </x:c>
      <x:c r="B7" s="55" t="n">
        <x:v>902000</x:v>
      </x:c>
      <x:c r="C7" s="15" t="str">
        <x:v>Rs/month</x:v>
      </x:c>
      <x:c r="D7" s="15" t="str">
        <x:v>T1</x:v>
      </x:c>
      <x:c r="E7" s="15" t="str">
        <x:v>JM Financial Exhibit 13</x:v>
      </x:c>
      <x:c r="F7" s="15" t="str">
        <x:v>Tier-1/2 cost structure</x:v>
      </x:c>
    </x:row>
    <x:row r="8">
      <x:c r="A8" s="15" t="str">
        <x:v>Revenue take rate</x:v>
      </x:c>
      <x:c r="B8" s="53" t="n">
        <x:v>0.1941</x:v>
      </x:c>
      <x:c r="C8" s="15" t="str">
        <x:v>% of GOV</x:v>
      </x:c>
      <x:c r="D8" s="15" t="str">
        <x:v>T1</x:v>
      </x:c>
      <x:c r="E8" s="15" t="str">
        <x:v>JM Financial FY26E</x:v>
      </x:c>
      <x:c r="F8" s="15" t="str">
        <x:v>Ads already included</x:v>
      </x:c>
    </x:row>
    <x:row r="9">
      <x:c r="A9" s="15" t="str">
        <x:v>City gig leg</x:v>
      </x:c>
      <x:c r="B9" s="57" t="n">
        <x:v>14.249351592488843</x:v>
      </x:c>
      <x:c r="C9" s="15" t="str">
        <x:v>Rs/order</x:v>
      </x:c>
      <x:c r="D9" s="15" t="str">
        <x:v>D</x:v>
      </x:c>
      <x:c r="E9" s="15" t="str">
        <x:v>Model/sla.py</x:v>
      </x:c>
      <x:c r="F9" s="15" t="str">
        <x:v>Volume-weighted</x:v>
      </x:c>
    </x:row>
    <x:row r="10">
      <x:c r="A10" s="15" t="str">
        <x:v>In-gate roster leg</x:v>
      </x:c>
      <x:c r="B10" s="57" t="n">
        <x:v>3.3638728995871854</x:v>
      </x:c>
      <x:c r="C10" s="15" t="str">
        <x:v>Rs/order</x:v>
      </x:c>
      <x:c r="D10" s="15" t="str">
        <x:v>D</x:v>
      </x:c>
      <x:c r="E10" s="15" t="str">
        <x:v>Model/fleet_mix.py</x:v>
      </x:c>
      <x:c r="F10" s="15" t="str">
        <x:v>2 runners × 3 gates</x:v>
      </x:c>
    </x:row>
    <x:row r="11">
      <x:c r="A11" s="15" t="str">
        <x:v>Total last mile</x:v>
      </x:c>
      <x:c r="B11" s="58" t="n">
        <x:f>B9+B10</x:f>
        <x:v>17.61322449207603</x:v>
      </x:c>
      <x:c r="C11" s="15" t="str">
        <x:v>Rs/order</x:v>
      </x:c>
      <x:c r="D11" s="15" t="str">
        <x:v>D</x:v>
      </x:c>
      <x:c r="E11" s="15" t="str">
        <x:v>Formula: city + in-gate</x:v>
      </x:c>
      <x:c r="F11" s="15" t="str">
        <x:v>Adopted base case</x:v>
      </x:c>
    </x:row>
    <x:row r="12">
      <x:c r="A12" s="15" t="str">
        <x:v>Store operations</x:v>
      </x:c>
      <x:c r="B12" s="57" t="n">
        <x:v>39</x:v>
      </x:c>
      <x:c r="C12" s="15" t="str">
        <x:v>Rs/order</x:v>
      </x:c>
      <x:c r="D12" s="15" t="str">
        <x:v>T2</x:v>
      </x:c>
      <x:c r="E12" s="15" t="str">
        <x:v>Published cost structure</x:v>
      </x:c>
      <x:c r="F12" s="15" t="str">
        <x:v>Comparator input</x:v>
      </x:c>
    </x:row>
    <x:row r="13">
      <x:c r="A13" s="15" t="str">
        <x:v>Packaging and support</x:v>
      </x:c>
      <x:c r="B13" s="57" t="n">
        <x:v>12</x:v>
      </x:c>
      <x:c r="C13" s="15" t="str">
        <x:v>Rs/order</x:v>
      </x:c>
      <x:c r="D13" s="15" t="str">
        <x:v>T2</x:v>
      </x:c>
      <x:c r="E13" s="15" t="str">
        <x:v>Published cost structure</x:v>
      </x:c>
      <x:c r="F13" s="15" t="str">
        <x:v>Comparator input</x:v>
      </x:c>
    </x:row>
    <x:row r="14">
      <x:c r="A14" s="15" t="str">
        <x:v>Unallocated residual</x:v>
      </x:c>
      <x:c r="B14" s="57" t="n">
        <x:v>12.3054</x:v>
      </x:c>
      <x:c r="C14" s="15" t="str">
        <x:v>Rs/order</x:v>
      </x:c>
      <x:c r="D14" s="15" t="str">
        <x:v>D</x:v>
      </x:c>
      <x:c r="E14" s="15" t="str">
        <x:v>Calibration residual</x:v>
      </x:c>
      <x:c r="F14" s="15" t="str">
        <x:v>Carried openly</x:v>
      </x:c>
    </x:row>
    <x:row r="15">
      <x:c r="A15" s="15" t="str">
        <x:v>Capex midpoint</x:v>
      </x:c>
      <x:c r="B15" s="55" t="n">
        <x:v>23500000</x:v>
      </x:c>
      <x:c r="C15" s="15" t="str">
        <x:v>Rs</x:v>
      </x:c>
      <x:c r="D15" s="15" t="str">
        <x:v>T2</x:v>
      </x:c>
      <x:c r="E15" s="15" t="str">
        <x:v>Rs2.2–2.5 crore band</x:v>
      </x:c>
      <x:c r="F15" s="15" t="str">
        <x:v>Midpoint</x:v>
      </x:c>
    </x:row>
    <x:row r="16">
      <x:c r="A16" s="15" t="str">
        <x:v>NWC days</x:v>
      </x:c>
      <x:c r="B16" s="55" t="n">
        <x:v>14</x:v>
      </x:c>
      <x:c r="C16" s="15" t="str">
        <x:v>days on NOV</x:v>
      </x:c>
      <x:c r="D16" s="15" t="str">
        <x:v>T1</x:v>
      </x:c>
      <x:c r="E16" s="15" t="str">
        <x:v>Eternal current disclosure</x:v>
      </x:c>
      <x:c r="F16" s="15" t="str">
        <x:v>Supersedes 18 days</x:v>
      </x:c>
    </x:row>
    <x:row r="17">
      <x:c r="A17" s="15" t="str">
        <x:v>Net working capital</x:v>
      </x:c>
      <x:c r="B17" s="55" t="n">
        <x:v>8885052.63311239</x:v>
      </x:c>
      <x:c r="C17" s="15" t="str">
        <x:v>Rs</x:v>
      </x:c>
      <x:c r="D17" s="15" t="str">
        <x:v>D</x:v>
      </x:c>
      <x:c r="E17" s="15" t="str">
        <x:v>Model/working_capital.py</x:v>
      </x:c>
      <x:c r="F17" s="15" t="str">
        <x:v>Adopted CE state</x:v>
      </x:c>
    </x:row>
    <x:row r="18">
      <x:c r="A18" s="15" t="str">
        <x:v>Capital employed</x:v>
      </x:c>
      <x:c r="B18" s="56" t="n">
        <x:f>B15+B17</x:f>
        <x:v>32385052.63311239</x:v>
      </x:c>
      <x:c r="C18" s="15" t="str">
        <x:v>Rs</x:v>
      </x:c>
      <x:c r="D18" s="15" t="str">
        <x:v>D</x:v>
      </x:c>
      <x:c r="E18" s="15" t="str">
        <x:v>Formula: capex + NWC</x:v>
      </x:c>
      <x:c r="F18" s="15" t="str">
        <x:v>Base case</x:v>
      </x:c>
    </x:row>
    <x:row r="19">
      <x:c r="A19" s="15" t="str">
        <x:v>ROCE comparator</x:v>
      </x:c>
      <x:c r="B19" s="53" t="n">
        <x:v>0.4</x:v>
      </x:c>
      <x:c r="C19" s="15" t="str">
        <x:v>%</x:v>
      </x:c>
      <x:c r="D19" s="15" t="str">
        <x:v>T1</x:v>
      </x:c>
      <x:c r="E19" s="15" t="str">
        <x:v>External comparator</x:v>
      </x:c>
      <x:c r="F19" s="15" t="str">
        <x:v>Not a Flipkart target</x:v>
      </x:c>
    </x:row>
    <x:row r="20">
      <x:c r="A20" s="15" t="str">
        <x:v>Tax rate</x:v>
      </x:c>
      <x:c r="B20" s="53" t="n">
        <x:v>0.2517</x:v>
      </x:c>
      <x:c r="C20" s="15" t="str">
        <x:v>%</x:v>
      </x:c>
      <x:c r="D20" s="15" t="str">
        <x:v>T1</x:v>
      </x:c>
      <x:c r="E20" s="15" t="str">
        <x:v>Model/roce.py</x:v>
      </x:c>
      <x:c r="F20" s="15" t="str">
        <x:v>Post-tax sensitivity</x:v>
      </x:c>
    </x:row>
    <x:row r="21">
      <x:c r="A21" s="15" t="str">
        <x:v>Node life</x:v>
      </x:c>
      <x:c r="B21" s="50" t="n">
        <x:v>60</x:v>
      </x:c>
      <x:c r="C21" s="15" t="str">
        <x:v>months</x:v>
      </x:c>
      <x:c r="D21" s="15" t="str">
        <x:v>T1</x:v>
      </x:c>
      <x:c r="E21" s="15" t="str">
        <x:v>JPM franchise payback anchor</x:v>
      </x:c>
      <x:c r="F21" s="15" t="str">
        <x:v>Downside guardrail</x:v>
      </x:c>
    </x:row>
    <x:row r="22">
      <x:c r="A22" s="15" t="str">
        <x:v>Ramp period</x:v>
      </x:c>
      <x:c r="B22" s="50" t="n">
        <x:v>3</x:v>
      </x:c>
      <x:c r="C22" s="15" t="str">
        <x:v>months</x:v>
      </x:c>
      <x:c r="D22" s="15" t="str">
        <x:v>A</x:v>
      </x:c>
      <x:c r="E22" s="15" t="str">
        <x:v>Implementation cap</x:v>
      </x:c>
      <x:c r="F22" s="15" t="str">
        <x:v>Linear ramp</x:v>
      </x:c>
    </x:row>
    <x:row r="23">
      <x:c r="A23" s="15" t="str">
        <x:v>Campuses per node</x:v>
      </x:c>
      <x:c r="B23" s="50" t="n">
        <x:v>3</x:v>
      </x:c>
      <x:c r="C23" s="15" t="str">
        <x:v>campuses</x:v>
      </x:c>
      <x:c r="D23" s="15" t="str">
        <x:v>D</x:v>
      </x:c>
      <x:c r="E23" s="15" t="str">
        <x:v>Model/params.py</x:v>
      </x:c>
      <x:c r="F23" s="15" t="str">
        <x:v>Cluster topology</x:v>
      </x:c>
    </x:row>
    <x:row r="24">
      <x:c r="A24" s="15" t="str">
        <x:v>Runners per gate</x:v>
      </x:c>
      <x:c r="B24" s="50" t="n">
        <x:v>2</x:v>
      </x:c>
      <x:c r="C24" s="15" t="str">
        <x:v>runners</x:v>
      </x:c>
      <x:c r="D24" s="15" t="str">
        <x:v>D</x:v>
      </x:c>
      <x:c r="E24" s="15" t="str">
        <x:v>Per-gate roster</x:v>
      </x:c>
      <x:c r="F24" s="15" t="str">
        <x:v>Chosen base case</x:v>
      </x:c>
    </x:row>
    <x:row r="25">
      <x:c r="A25" s="15" t="str">
        <x:v>Total base runners</x:v>
      </x:c>
      <x:c r="B25" s="52" t="n">
        <x:f>B23*B24</x:f>
        <x:v>6</x:v>
      </x:c>
      <x:c r="C25" s="15" t="str">
        <x:v>runners</x:v>
      </x:c>
      <x:c r="D25" s="15" t="str">
        <x:v>D</x:v>
      </x:c>
      <x:c r="E25" s="15" t="str">
        <x:v>Formula: campuses × runners/gate</x:v>
      </x:c>
      <x:c r="F25" s="15" t="str">
        <x:v>Per-gate topology</x:v>
      </x:c>
    </x:row>
    <x:row r="26">
      <x:c r="A26" s="15" t="str">
        <x:v>Pooled roster</x:v>
      </x:c>
      <x:c r="B26" s="50" t="n">
        <x:v>7</x:v>
      </x:c>
      <x:c r="C26" s="15" t="str">
        <x:v>runners</x:v>
      </x:c>
      <x:c r="D26" s="15" t="str">
        <x:v>D</x:v>
      </x:c>
      <x:c r="E26" s="15" t="str">
        <x:v>Model/fleet_mix.py</x:v>
      </x:c>
      <x:c r="F26" s="15" t="str">
        <x:v>Conditional upside only</x:v>
      </x:c>
    </x:row>
    <x:row r="27">
      <x:c r="A27" s="15" t="str">
        <x:v>Pooling saving</x:v>
      </x:c>
      <x:c r="B27" s="57" t="n">
        <x:v>0.4792575149718008</x:v>
      </x:c>
      <x:c r="C27" s="15" t="str">
        <x:v>Rs/order</x:v>
      </x:c>
      <x:c r="D27" s="15" t="str">
        <x:v>D</x:v>
      </x:c>
      <x:c r="E27" s="15" t="str">
        <x:v>Model/fleet_mix.py</x:v>
      </x:c>
      <x:c r="F27" s="15" t="str">
        <x:v>Requires cross-gate movement test</x:v>
      </x:c>
    </x:row>
    <x:row r="28">
      <x:c r="A28" s="15" t="str">
        <x:v>City-to-gate trip</x:v>
      </x:c>
      <x:c r="B28" s="57" t="n">
        <x:v>18.25</x:v>
      </x:c>
      <x:c r="C28" s="15" t="str">
        <x:v>minutes</x:v>
      </x:c>
      <x:c r="D28" s="15" t="str">
        <x:v>D</x:v>
      </x:c>
      <x:c r="E28" s="15" t="str">
        <x:v>Model/cost_stack.py</x:v>
      </x:c>
      <x:c r="F28" s="15" t="str">
        <x:v>Gate-drop geometry</x:v>
      </x:c>
    </x:row>
    <x:row r="29">
      <x:c r="A29" s="15" t="str">
        <x:v>Gig active-hour rate</x:v>
      </x:c>
      <x:c r="B29" s="57" t="n">
        <x:v>168.25396825396825</x:v>
      </x:c>
      <x:c r="C29" s="15" t="str">
        <x:v>Rs/hour</x:v>
      </x:c>
      <x:c r="D29" s="15" t="str">
        <x:v>T1</x:v>
      </x:c>
      <x:c r="E29" s="15" t="str">
        <x:v>JPM rider economics</x:v>
      </x:c>
      <x:c r="F29" s="15" t="str">
        <x:v>City leg</x:v>
      </x:c>
    </x:row>
    <x:row r="30">
      <x:c r="A30" s="15" t="str">
        <x:v>Runner cost per day</x:v>
      </x:c>
      <x:c r="B30" s="57" t="n">
        <x:v>576.9230769230769</x:v>
      </x:c>
      <x:c r="C30" s="15" t="str">
        <x:v>Rs/day</x:v>
      </x:c>
      <x:c r="D30" s="15" t="str">
        <x:v>T1</x:v>
      </x:c>
      <x:c r="E30" s="15" t="str">
        <x:v>Rs15,000 / 26 days</x:v>
      </x:c>
      <x:c r="F30" s="15" t="str">
        <x:v>Fixed roster cost</x:v>
      </x:c>
    </x:row>
    <x:row r="31">
      <x:c r="A31" s="15" t="str">
        <x:v>Runner breakeven floor</x:v>
      </x:c>
      <x:c r="B31" s="57" t="n">
        <x:v>86.62439844167749</x:v>
      </x:c>
      <x:c r="C31" s="15" t="str">
        <x:v>orders/day</x:v>
      </x:c>
      <x:c r="D31" s="15" t="str">
        <x:v>D</x:v>
      </x:c>
      <x:c r="E31" s="15" t="str">
        <x:v>Model/fleet_mix.py</x:v>
      </x:c>
      <x:c r="F31" s="15" t="str">
        <x:v>Below this, use gig</x:v>
      </x:c>
    </x:row>
    <x:row r="32">
      <x:c r="A32" s="15" t="str">
        <x:v>Basket AOV at 30% mix</x:v>
      </x:c>
      <x:c r="B32" s="57" t="n">
        <x:v>729.383462929356</x:v>
      </x:c>
      <x:c r="C32" s="15" t="str">
        <x:v>Rs</x:v>
      </x:c>
      <x:c r="D32" s="15" t="str">
        <x:v>D</x:v>
      </x:c>
      <x:c r="E32" s="15" t="str">
        <x:v>Model/basket.py</x:v>
      </x:c>
      <x:c r="F32" s="15" t="str">
        <x:v>Scenario</x:v>
      </x:c>
    </x:row>
    <x:row r="33">
      <x:c r="A33" s="15" t="str">
        <x:v>Basket AOV at 40% mix</x:v>
      </x:c>
      <x:c r="B33" s="57" t="n">
        <x:v>842.198235551258</x:v>
      </x:c>
      <x:c r="C33" s="15" t="str">
        <x:v>Rs</x:v>
      </x:c>
      <x:c r="D33" s="15" t="str">
        <x:v>D</x:v>
      </x:c>
      <x:c r="E33" s="15" t="str">
        <x:v>Model/basket.py</x:v>
      </x:c>
      <x:c r="F33" s="15" t="str">
        <x:v>Scenario</x:v>
      </x:c>
    </x:row>
    <x:row r="34">
      <x:c r="A34" s="15" t="str">
        <x:v>Break residual share</x:v>
      </x:c>
      <x:c r="B34" s="53" t="n">
        <x:v>0.48614501953125</x:v>
      </x:c>
      <x:c r="C34" s="15" t="str">
        <x:v>% of term volume</x:v>
      </x:c>
      <x:c r="D34" s="15" t="str">
        <x:v>D</x:v>
      </x:c>
      <x:c r="E34" s="15" t="str">
        <x:v>Model/break_mode.py</x:v>
      </x:c>
      <x:c r="F34" s="15" t="str">
        <x:v>Repurpose threshold</x:v>
      </x:c>
    </x:row>
    <x:row r="35">
      <x:c r="A35" s="15" t="str">
        <x:v>Basket slope</x:v>
      </x:c>
      <x:c r="B35" s="57" t="n">
        <x:v>11.281477262190199</x:v>
      </x:c>
      <x:c r="C35" s="15" t="str">
        <x:v>Rs / mix point</x:v>
      </x:c>
      <x:c r="D35" s="15" t="str">
        <x:v>D</x:v>
      </x:c>
      <x:c r="E35" s="15" t="str">
        <x:v>Four-quarter regression</x:v>
      </x:c>
      <x:c r="F35" s="15" t="str">
        <x:v>Small-sample fit</x:v>
      </x:c>
    </x:row>
    <x:row r="36">
      <x:c r="A36" s="15" t="str">
        <x:v>Basket intercept</x:v>
      </x:c>
      <x:c r="B36" s="57" t="n">
        <x:v>390.93914506365</x:v>
      </x:c>
      <x:c r="C36" s="15" t="str">
        <x:v>Rs</x:v>
      </x:c>
      <x:c r="D36" s="15" t="str">
        <x:v>D</x:v>
      </x:c>
      <x:c r="E36" s="15" t="str">
        <x:v>Four-quarter regression</x:v>
      </x:c>
      <x:c r="F36" s="15" t="str">
        <x:v>Small-sample fit</x:v>
      </x:c>
    </x:row>
    <x:row r="37">
      <x:c r="A37" s="15" t="str">
        <x:v>Basket R-squared</x:v>
      </x:c>
      <x:c r="B37" s="57" t="n">
        <x:v>0.9178762942769791</x:v>
      </x:c>
      <x:c r="C37" s="15" t="str">
        <x:v>R²</x:v>
      </x:c>
      <x:c r="D37" s="15" t="str">
        <x:v>D</x:v>
      </x:c>
      <x:c r="E37" s="15" t="str">
        <x:v>Four-quarter regression</x:v>
      </x:c>
      <x:c r="F37" s="15" t="str">
        <x:v>In-sample only</x:v>
      </x:c>
    </x:row>
    <x:row r="38">
      <x:c r="A38" s="15" t="str">
        <x:v>Minutes non-grocery mix</x:v>
      </x:c>
      <x:c r="B38" s="57" t="n">
        <x:v>0.2</x:v>
      </x:c>
      <x:c r="C38" s="15" t="str">
        <x:v>% of GOV</x:v>
      </x:c>
      <x:c r="D38" s="15" t="str">
        <x:v>T2</x:v>
      </x:c>
      <x:c r="E38" s="15" t="str">
        <x:v>Minutes disclosure</x:v>
      </x:c>
      <x:c r="F38" s="15" t="str">
        <x:v>Current reference</x:v>
      </x:c>
    </x:row>
    <x:row r="39">
      <x:c r="A39" s="15" t="str">
        <x:v>Spine breakeven AOV</x:v>
      </x:c>
      <x:c r="B39" s="57" t="n">
        <x:v>573.0960959462569</x:v>
      </x:c>
      <x:c r="C39" s="15" t="str">
        <x:v>Rs</x:v>
      </x:c>
      <x:c r="D39" s="15" t="str">
        <x:v>D</x:v>
      </x:c>
      <x:c r="E39" s="15" t="str">
        <x:v>30-day cost-stack basis</x:v>
      </x:c>
      <x:c r="F39" s="15" t="str">
        <x:v>Deck headline</x:v>
      </x:c>
    </x:row>
    <x:row r="40">
      <x:c r="A40" s="15" t="str">
        <x:v>Restart WC re-injection</x:v>
      </x:c>
      <x:c r="B40" s="55" t="n">
        <x:v>7552294.738145531</x:v>
      </x:c>
      <x:c r="C40" s="15" t="str">
        <x:v>Rs</x:v>
      </x:c>
      <x:c r="D40" s="15" t="str">
        <x:v>D</x:v>
      </x:c>
      <x:c r="E40" s="15" t="str">
        <x:v>Credit-state B, 15% residual</x:v>
      </x:c>
      <x:c r="F40" s="15" t="str">
        <x:v>One WC definition</x:v>
      </x:c>
    </x:row>
    <x:row r="41">
      <x:c r="A41" s="15" t="str">
        <x:v>Restart credit state</x:v>
      </x:c>
      <x:c r="B41" s="50" t="str">
        <x:v>B</x:v>
      </x:c>
      <x:c r="C41" s="15" t="str">
        <x:v>state</x:v>
      </x:c>
      <x:c r="D41" s="15" t="str">
        <x:v>A</x:v>
      </x:c>
      <x:c r="E41" s="15" t="str">
        <x:v>Model/params.py</x:v>
      </x:c>
      <x:c r="F41" s="15" t="str">
        <x:v>Supplier terms return at restart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97dce20b83d0473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3" t="str">
        <x:v>Fulfilment and cost-per-order</x:v>
      </x:c>
      <x:c r="B1" s="3" t="str">
        <x:v>Fulfilment and cost-per-order</x:v>
      </x:c>
      <x:c r="C1" s="3" t="str">
        <x:v>Fulfilment and cost-per-order</x:v>
      </x:c>
      <x:c r="D1" s="3" t="str">
        <x:v>Fulfilment and cost-per-order</x:v>
      </x:c>
      <x:c r="E1" s="3" t="str">
        <x:v>Fulfilment and cost-per-order</x:v>
      </x:c>
      <x:c r="F1" s="3" t="str">
        <x:v>Fulfilment and cost-per-order</x:v>
      </x:c>
      <x:c r="G1" s="3" t="str">
        <x:v>Fulfilment and cost-per-order</x:v>
      </x:c>
      <x:c r="H1" s="3" t="str">
        <x:v>Fulfilment and cost-per-order</x:v>
      </x:c>
      <x:c r="I1" s="3" t="str">
        <x:v>Fulfilment and cost-per-order</x:v>
      </x:c>
      <x:c r="J1" s="3" t="str">
        <x:v>Fulfilment and cost-per-order</x:v>
      </x:c>
      <x:c r="K1" s="3" t="str">
        <x:v>Fulfilment and cost-per-order</x:v>
      </x:c>
    </x:row>
    <x:row r="2" ht="34" customHeight="1">
      <x:c r="A2" s="7" t="str">
        <x:v>City gig scales with volume; the in-gate leg is a fixed roster divided by cluster volume. Per-gate is the base case; pooling is a priced option.</x:v>
      </x:c>
      <x:c r="B2" s="7" t="str">
        <x:v>City gig scales with volume; the in-gate leg is a fixed roster divided by cluster volume. Per-gate is the base case; pooling is a priced option.</x:v>
      </x:c>
      <x:c r="C2" s="7" t="str">
        <x:v>City gig scales with volume; the in-gate leg is a fixed roster divided by cluster volume. Per-gate is the base case; pooling is a priced option.</x:v>
      </x:c>
      <x:c r="D2" s="7" t="str">
        <x:v>City gig scales with volume; the in-gate leg is a fixed roster divided by cluster volume. Per-gate is the base case; pooling is a priced option.</x:v>
      </x:c>
      <x:c r="E2" s="7" t="str">
        <x:v>City gig scales with volume; the in-gate leg is a fixed roster divided by cluster volume. Per-gate is the base case; pooling is a priced option.</x:v>
      </x:c>
      <x:c r="F2" s="7" t="str">
        <x:v>City gig scales with volume; the in-gate leg is a fixed roster divided by cluster volume. Per-gate is the base case; pooling is a priced option.</x:v>
      </x:c>
      <x:c r="G2" s="7" t="str">
        <x:v>City gig scales with volume; the in-gate leg is a fixed roster divided by cluster volume. Per-gate is the base case; pooling is a priced option.</x:v>
      </x:c>
      <x:c r="H2" s="7" t="str">
        <x:v>City gig scales with volume; the in-gate leg is a fixed roster divided by cluster volume. Per-gate is the base case; pooling is a priced option.</x:v>
      </x:c>
      <x:c r="I2" s="7" t="str">
        <x:v>City gig scales with volume; the in-gate leg is a fixed roster divided by cluster volume. Per-gate is the base case; pooling is a priced option.</x:v>
      </x:c>
      <x:c r="J2" s="7" t="str">
        <x:v>City gig scales with volume; the in-gate leg is a fixed roster divided by cluster volume. Per-gate is the base case; pooling is a priced option.</x:v>
      </x:c>
      <x:c r="K2" s="7" t="str">
        <x:v>City gig scales with volume; the in-gate leg is a fixed roster divided by cluster volume. Per-gate is the base case; pooling is a priced option.</x:v>
      </x:c>
    </x:row>
    <x:row r="4">
      <x:c r="A4" s="12" t="str">
        <x:v>Demand band</x:v>
      </x:c>
      <x:c r="B4" s="12" t="str">
        <x:v>Hours</x:v>
      </x:c>
      <x:c r="C4" s="12" t="str">
        <x:v>Multiplier</x:v>
      </x:c>
      <x:c r="D4" s="12" t="str">
        <x:v>% orders</x:v>
      </x:c>
      <x:c r="E4" s="12" t="str">
        <x:v>Orders/hour</x:v>
      </x:c>
      <x:c r="F4" s="12" t="str">
        <x:v>Batch</x:v>
      </x:c>
      <x:c r="G4" s="12" t="str">
        <x:v>City Rs/order</x:v>
      </x:c>
      <x:c r="H4" s="12" t="str">
        <x:v>In-gate Rs/order</x:v>
      </x:c>
      <x:c r="I4" s="12" t="str">
        <x:v>Total Rs/order</x:v>
      </x:c>
      <x:c r="J4" s="12" t="str">
        <x:v>Modelled SLA min</x:v>
      </x:c>
      <x:c r="K4" s="12" t="str">
        <x:v>Weighted city</x:v>
      </x:c>
    </x:row>
    <x:row r="5">
      <x:c r="A5" s="15" t="str">
        <x:v>Peak / exam windows</x:v>
      </x:c>
      <x:c r="B5" s="15" t="n">
        <x:v>4</x:v>
      </x:c>
      <x:c r="C5" s="15" t="n">
        <x:v>4</x:v>
      </x:c>
      <x:c r="D5" s="62" t="n">
        <x:f>B5*C5/SUMPRODUCT($B$5:$B$7,$C$5:$C$7)</x:f>
        <x:v>0.6274509803921569</x:v>
      </x:c>
      <x:c r="E5" s="63" t="n">
        <x:v>103.70370370370371</x:v>
      </x:c>
      <x:c r="F5" s="15" t="n">
        <x:v>10</x:v>
      </x:c>
      <x:c r="G5" s="64" t="n">
        <x:f>'1 Inputs'!$B$29*'1 Inputs'!$B$28/60/F5</x:f>
        <x:v>5.117724867724868</x:v>
      </x:c>
      <x:c r="H5" s="64" t="n">
        <x:f>'1 Inputs'!$B$10</x:f>
        <x:v>3.3638728995871854</x:v>
      </x:c>
      <x:c r="I5" s="64" t="n">
        <x:f>G5+H5</x:f>
        <x:v>8.481597767312053</x:v>
      </x:c>
      <x:c r="J5" s="64" t="n">
        <x:v>27.135714285714286</x:v>
      </x:c>
      <x:c r="K5" s="64" t="n">
        <x:f>D5*G5</x:f>
        <x:v>3.2111214856312897</x:v>
      </x:c>
    </x:row>
    <x:row r="6">
      <x:c r="A6" s="15" t="str">
        <x:v>Normal</x:v>
      </x:c>
      <x:c r="B6" s="15" t="n">
        <x:v>8</x:v>
      </x:c>
      <x:c r="C6" s="15" t="n">
        <x:v>1</x:v>
      </x:c>
      <x:c r="D6" s="62" t="n">
        <x:f>B6*C6/SUMPRODUCT($B$5:$B$7,$C$5:$C$7)</x:f>
        <x:v>0.3137254901960784</x:v>
      </x:c>
      <x:c r="E6" s="63" t="n">
        <x:v>25.925925925925927</x:v>
      </x:c>
      <x:c r="F6" s="15" t="n">
        <x:v>2</x:v>
      </x:c>
      <x:c r="G6" s="64" t="n">
        <x:f>'1 Inputs'!$B$29*'1 Inputs'!$B$28/60/F6</x:f>
        <x:v>25.58862433862434</x:v>
      </x:c>
      <x:c r="H6" s="64" t="n">
        <x:f>'1 Inputs'!$B$10</x:f>
        <x:v>3.3638728995871854</x:v>
      </x:c>
      <x:c r="I6" s="64" t="n">
        <x:f>G6+H6</x:f>
        <x:v>28.952497238211524</x:v>
      </x:c>
      <x:c r="J6" s="64" t="n">
        <x:v>21.57857142857143</x:v>
      </x:c>
      <x:c r="K6" s="64" t="n">
        <x:f>D6*G6</x:f>
        <x:v>8.027803714078225</x:v>
      </x:c>
    </x:row>
    <x:row r="7">
      <x:c r="A7" s="15" t="str">
        <x:v>Trough / class hours</x:v>
      </x:c>
      <x:c r="B7" s="15" t="n">
        <x:v>6</x:v>
      </x:c>
      <x:c r="C7" s="15" t="n">
        <x:v>0.25</x:v>
      </x:c>
      <x:c r="D7" s="62" t="n">
        <x:f>B7*C7/SUMPRODUCT($B$5:$B$7,$C$5:$C$7)</x:f>
        <x:v>0.058823529411764705</x:v>
      </x:c>
      <x:c r="E7" s="63" t="n">
        <x:v>6.481481481481482</x:v>
      </x:c>
      <x:c r="F7" s="15" t="n">
        <x:v>1</x:v>
      </x:c>
      <x:c r="G7" s="64" t="n">
        <x:f>'1 Inputs'!$B$29*'1 Inputs'!$B$28/60/F7</x:f>
        <x:v>51.17724867724868</x:v>
      </x:c>
      <x:c r="H7" s="64" t="n">
        <x:f>'1 Inputs'!$B$10</x:f>
        <x:v>3.3638728995871854</x:v>
      </x:c>
      <x:c r="I7" s="64" t="n">
        <x:f>G7+H7</x:f>
        <x:v>54.54112157683586</x:v>
      </x:c>
      <x:c r="J7" s="64" t="n">
        <x:v>25.65714285714286</x:v>
      </x:c>
      <x:c r="K7" s="64" t="n">
        <x:f>D7*G7</x:f>
        <x:v>3.0104263927793338</x:v>
      </x:c>
    </x:row>
    <x:row r="8">
      <x:c r="G8" s="65"/>
      <x:c r="H8" s="65"/>
      <x:c r="I8" s="65"/>
      <x:c r="J8" s="65"/>
      <x:c r="K8" s="65"/>
    </x:row>
    <x:row r="9">
      <x:c r="A9" s="61" t="str">
        <x:v>Adopted volume-weighted last mile</x:v>
      </x:c>
      <x:c r="B9" s="61"/>
      <x:c r="C9" s="61"/>
      <x:c r="D9" s="61"/>
      <x:c r="E9" s="61"/>
      <x:c r="F9" s="61" t="str">
        <x:v>City leg</x:v>
      </x:c>
      <x:c r="G9" s="66" t="n">
        <x:f>SUM(K5:K7)</x:f>
        <x:v>14.249351592488848</x:v>
      </x:c>
      <x:c r="H9" s="66" t="str">
        <x:v>In-gate leg</x:v>
      </x:c>
      <x:c r="I9" s="66" t="n">
        <x:f>'1 Inputs'!$B$10</x:f>
        <x:v>3.3638728995871854</x:v>
      </x:c>
      <x:c r="J9" s="66" t="str">
        <x:v>Total</x:v>
      </x:c>
      <x:c r="K9" s="66" t="n">
        <x:f>G9+I9</x:f>
        <x:v>17.613224492076032</x:v>
      </x:c>
    </x:row>
    <x:row r="12" ht="22" customHeight="1">
      <x:c r="A12" s="20" t="str">
        <x:v>Topology decision</x:v>
      </x:c>
      <x:c r="B12" s="20" t="str">
        <x:v>Topology decision</x:v>
      </x:c>
      <x:c r="C12" s="20" t="str">
        <x:v>Topology decision</x:v>
      </x:c>
      <x:c r="D12" s="20" t="str">
        <x:v>Topology decision</x:v>
      </x:c>
      <x:c r="E12" s="20" t="str">
        <x:v>Topology decision</x:v>
      </x:c>
      <x:c r="F12" s="20" t="str">
        <x:v>Topology decision</x:v>
      </x:c>
      <x:c r="G12" s="20" t="str">
        <x:v>Topology decision</x:v>
      </x:c>
      <x:c r="H12" s="20" t="str">
        <x:v>Topology decision</x:v>
      </x:c>
      <x:c r="I12" s="20" t="str">
        <x:v>Topology decision</x:v>
      </x:c>
      <x:c r="J12" s="20" t="str">
        <x:v>Topology decision</x:v>
      </x:c>
      <x:c r="K12" s="20" t="str">
        <x:v>Topology decision</x:v>
      </x:c>
    </x:row>
    <x:row r="13">
      <x:c r="A13" s="12" t="str">
        <x:v>Case</x:v>
      </x:c>
      <x:c r="B13" s="12" t="str">
        <x:v>Runners</x:v>
      </x:c>
      <x:c r="C13" s="12" t="str">
        <x:v>Utilisation</x:v>
      </x:c>
      <x:c r="D13" s="12" t="str">
        <x:v>In-gate Rs/order</x:v>
      </x:c>
      <x:c r="E13" s="12" t="str">
        <x:v>Saving vs base</x:v>
      </x:c>
      <x:c r="F13" s="12" t="str">
        <x:v>Release treatment</x:v>
      </x:c>
    </x:row>
    <x:row r="14">
      <x:c r="A14" s="15" t="str">
        <x:v>Per-gate base</x:v>
      </x:c>
      <x:c r="B14" s="15" t="n">
        <x:v>6</x:v>
      </x:c>
      <x:c r="C14" s="62" t="n">
        <x:v>0.8661654135338346</x:v>
      </x:c>
      <x:c r="D14" s="64" t="n">
        <x:v>3.3638728995871854</x:v>
      </x:c>
      <x:c r="E14" s="64" t="n">
        <x:v>0</x:v>
      </x:c>
      <x:c r="F14" s="15" t="str">
        <x:v>Adopted: 2 runners × 3 gates</x:v>
      </x:c>
    </x:row>
    <x:row r="15">
      <x:c r="A15" s="15" t="str">
        <x:v>Pooled upside</x:v>
      </x:c>
      <x:c r="B15" s="15" t="n">
        <x:v>7</x:v>
      </x:c>
      <x:c r="C15" s="62" t="n">
        <x:v>1</x:v>
      </x:c>
      <x:c r="D15" s="64" t="n">
        <x:v>2.8846153846153846</x:v>
      </x:c>
      <x:c r="E15" s="64" t="n">
        <x:v>0.4792575149718008</x:v>
      </x:c>
      <x:c r="F15" s="15" t="str">
        <x:v>Conditional on cross-gate movement test</x:v>
      </x:c>
    </x:row>
    <x:row r="16">
      <x:c r="A16" s="15" t="str">
        <x:v>All gig, same leg</x:v>
      </x:c>
      <x:c r="B16" s="15"/>
      <x:c r="C16" s="15"/>
      <x:c r="D16" s="64" t="n">
        <x:v>6.667307692307692</x:v>
      </x:c>
      <x:c r="E16" s="64" t="n">
        <x:v>-3.3034347927205068</x:v>
      </x:c>
      <x:c r="F16" s="15" t="str">
        <x:v>Fallback below roster floor</x:v>
      </x:c>
    </x:row>
  </x:sheetData>
  <x:mergeCells>
    <x:mergeCell ref="A1:K1"/>
    <x:mergeCell ref="A2:K2"/>
    <x:mergeCell ref="A12:K12"/>
  </x:mergeCells>
  <x:pageMargins left="0.7" right="0.7" top="0.75" bottom="0.75" header="0.3" footer="0.3"/>
  <x:drawing xmlns:r="http://schemas.openxmlformats.org/officeDocument/2006/relationships" r:id="R628e74df49454324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52" hidden="0" customWidth="1"/>
  </x:cols>
  <x:sheetData>
    <x:row r="1" ht="30" customHeight="1">
      <x:c r="A1" s="3" t="str">
        <x:v>Unit economics and AOV thresholds</x:v>
      </x:c>
      <x:c r="B1" s="3" t="str">
        <x:v>Unit economics and AOV thresholds</x:v>
      </x:c>
      <x:c r="C1" s="3" t="str">
        <x:v>Unit economics and AOV thresholds</x:v>
      </x:c>
      <x:c r="D1" s="3" t="str">
        <x:v>Unit economics and AOV thresholds</x:v>
      </x:c>
    </x:row>
    <x:row r="2" ht="34" customHeight="1">
      <x:c r="A2" s="7" t="str">
        <x:v>The deck headline uses the 30-day cost-stack convention; the returns model uses a 365-day active-period convention. The difference is explicitly reconciled.</x:v>
      </x:c>
      <x:c r="B2" s="7" t="str">
        <x:v>The deck headline uses the 30-day cost-stack convention; the returns model uses a 365-day active-period convention. The difference is explicitly reconciled.</x:v>
      </x:c>
      <x:c r="C2" s="7" t="str">
        <x:v>The deck headline uses the 30-day cost-stack convention; the returns model uses a 365-day active-period convention. The difference is explicitly reconciled.</x:v>
      </x:c>
      <x:c r="D2" s="7" t="str">
        <x:v>The deck headline uses the 30-day cost-stack convention; the returns model uses a 365-day active-period convention. The difference is explicitly reconciled.</x:v>
      </x:c>
    </x:row>
    <x:row r="4">
      <x:c r="A4" s="12" t="str">
        <x:v>Metric</x:v>
      </x:c>
      <x:c r="B4" s="12" t="str">
        <x:v>Formula / value</x:v>
      </x:c>
      <x:c r="C4" s="12" t="str">
        <x:v>Unit</x:v>
      </x:c>
      <x:c r="D4" s="12" t="str">
        <x:v>Reading</x:v>
      </x:c>
    </x:row>
    <x:row r="5">
      <x:c r="A5" s="15" t="str">
        <x:v>Active days per year</x:v>
      </x:c>
      <x:c r="B5" s="58" t="n">
        <x:f>365*'1 Inputs'!$B$6/12</x:f>
        <x:v>258.5416666666667</x:v>
      </x:c>
      <x:c r="C5" s="15" t="str">
        <x:v>days</x:v>
      </x:c>
      <x:c r="D5" s="15" t="str">
        <x:v>365 × 8.5 / 12</x:v>
      </x:c>
    </x:row>
    <x:row r="6">
      <x:c r="A6" s="15" t="str">
        <x:v>Annual orders, term-only</x:v>
      </x:c>
      <x:c r="B6" s="58" t="n">
        <x:f>'1 Inputs'!$B$5*B5</x:f>
        <x:v>361958.3333333334</x:v>
      </x:c>
      <x:c r="C6" s="15" t="str">
        <x:v>orders</x:v>
      </x:c>
      <x:c r="D6" s="15" t="str">
        <x:v>Term-only return basis</x:v>
      </x:c>
    </x:row>
    <x:row r="7">
      <x:c r="A7" s="15" t="str">
        <x:v>Variable cost per order</x:v>
      </x:c>
      <x:c r="B7" s="58" t="n">
        <x:f>SUM('1 Inputs'!$B$11:$B$14)</x:f>
        <x:v>80.91862449207603</x:v>
      </x:c>
      <x:c r="C7" s="15" t="str">
        <x:v>Rs/order</x:v>
      </x:c>
      <x:c r="D7" s="15" t="str">
        <x:v>Last mile + store ops + packaging + residual</x:v>
      </x:c>
    </x:row>
    <x:row r="8">
      <x:c r="A8" s="15" t="str">
        <x:v>Breakeven AOV — 365-day basis</x:v>
      </x:c>
      <x:c r="B8" s="58" t="n">
        <x:f>('1 Inputs'!$B$7*12/B6+B7)/'1 Inputs'!$B$8</x:f>
        <x:v>570.956305855632</x:v>
      </x:c>
      <x:c r="C8" s="15" t="str">
        <x:v>Rs</x:v>
      </x:c>
      <x:c r="D8" s="15" t="str">
        <x:v>ROCE = 0 on the returns basis</x:v>
      </x:c>
    </x:row>
    <x:row r="9">
      <x:c r="A9" s="15" t="str">
        <x:v>Breakeven AOV — 30-day spine</x:v>
      </x:c>
      <x:c r="B9" s="58" t="n">
        <x:f>('1 Inputs'!$B$7/'1 Inputs'!$B$5/30*12/'1 Inputs'!$B$6+B7)/'1 Inputs'!$B$8</x:f>
        <x:v>573.096095946257</x:v>
      </x:c>
      <x:c r="C9" s="15" t="str">
        <x:v>Rs</x:v>
      </x:c>
      <x:c r="D9" s="15" t="str">
        <x:v>Deck spine; 12 × 30-day convention</x:v>
      </x:c>
    </x:row>
    <x:row r="10">
      <x:c r="A10" s="15" t="str">
        <x:v>Day-count convention gap</x:v>
      </x:c>
      <x:c r="B10" s="58" t="n">
        <x:f>B9-B8</x:f>
        <x:v>2.1397900906250698</x:v>
      </x:c>
      <x:c r="C10" s="15" t="str">
        <x:v>Rs</x:v>
      </x:c>
      <x:c r="D10" s="15" t="str">
        <x:v>Reconciled, not smoothed</x:v>
      </x:c>
    </x:row>
    <x:row r="11">
      <x:c r="A11" s="15" t="str">
        <x:v>AOV for 40% ROCE</x:v>
      </x:c>
      <x:c r="B11" s="58" t="n">
        <x:f>('1 Inputs'!$B$19*'1 Inputs'!$B$18+'1 Inputs'!$B$7*12)/('1 Inputs'!$B$8*B6)+B7/'1 Inputs'!$B$8</x:f>
        <x:v>755.3391387834424</x:v>
      </x:c>
      <x:c r="C11" s="15" t="str">
        <x:v>Rs</x:v>
      </x:c>
      <x:c r="D11" s="15" t="str">
        <x:v>External comparator, not Flipkart commitment</x:v>
      </x:c>
    </x:row>
    <x:row r="12">
      <x:c r="A12" s="15" t="str">
        <x:v>Hurdle premium over breakeven</x:v>
      </x:c>
      <x:c r="B12" s="58" t="n">
        <x:f>B11-B8</x:f>
        <x:v>184.38283292781045</x:v>
      </x:c>
      <x:c r="C12" s="15" t="str">
        <x:v>Rs</x:v>
      </x:c>
      <x:c r="D12" s="15" t="str">
        <x:v>Basket premium required</x:v>
      </x:c>
    </x:row>
    <x:row r="13">
      <x:c r="A13" s="15" t="str">
        <x:v>Non-grocery share implied</x:v>
      </x:c>
      <x:c r="B13" s="68" t="n">
        <x:f>(B11-'1 Inputs'!$B$36)/'1 Inputs'!$B$35/100</x:f>
        <x:v>0.3230073378254076</x:v>
      </x:c>
      <x:c r="C13" s="15" t="str">
        <x:v>% of GOV</x:v>
      </x:c>
      <x:c r="D13" s="15" t="str">
        <x:v>Derived from four-quarter basket fit</x:v>
      </x:c>
    </x:row>
    <x:row r="14">
      <x:c r="A14" s="15" t="str">
        <x:v>Contribution/order at hurdle</x:v>
      </x:c>
      <x:c r="B14" s="58" t="n">
        <x:f>'1 Inputs'!$B$8*B11-B7</x:f>
        <x:v>65.69270234579012</x:v>
      </x:c>
      <x:c r="C14" s="15" t="str">
        <x:v>Rs/order</x:v>
      </x:c>
      <x:c r="D14" s="15" t="str">
        <x:v>Before annual fixed cost</x:v>
      </x:c>
    </x:row>
    <x:row r="15">
      <x:c r="A15" s="15" t="str">
        <x:v>Repurpose value in AOV</x:v>
      </x:c>
      <x:c r="B15" s="58" t="n">
        <x:f>25.696454047023735</x:f>
        <x:v>25.696454047023735</x:v>
      </x:c>
      <x:c r="C15" s="15" t="str">
        <x:v>Rs</x:v>
      </x:c>
      <x:c r="D15" s="15" t="str">
        <x:v>Adjacent catchment substitutes for basket at margin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30" customHeight="1">
      <x:c r="A1" s="3" t="str">
        <x:v>ROCE, payback, and downside</x:v>
      </x:c>
      <x:c r="B1" s="3" t="str">
        <x:v>ROCE, payback, and downside</x:v>
      </x:c>
      <x:c r="C1" s="3" t="str">
        <x:v>ROCE, payback, and downside</x:v>
      </x:c>
      <x:c r="D1" s="3" t="str">
        <x:v>ROCE, payback, and downside</x:v>
      </x:c>
      <x:c r="E1" s="3" t="str">
        <x:v>ROCE, payback, and downside</x:v>
      </x:c>
      <x:c r="F1" s="3" t="str">
        <x:v>ROCE, payback, and downside</x:v>
      </x:c>
      <x:c r="G1" s="3" t="str">
        <x:v>ROCE, payback, and downside</x:v>
      </x:c>
      <x:c r="H1" s="3" t="str">
        <x:v>ROCE, payback, and downside</x:v>
      </x:c>
      <x:c r="I1" s="3" t="str">
        <x:v>ROCE, payback, and downside</x:v>
      </x:c>
      <x:c r="J1" s="3" t="str">
        <x:v>ROCE, payback, and downside</x:v>
      </x:c>
      <x:c r="K1" s="3" t="str">
        <x:v>ROCE, payback, and downside</x:v>
      </x:c>
    </x:row>
    <x:row r="2" ht="34" customHeight="1">
      <x:c r="A2" s="7" t="str">
        <x:v>Scenario outputs are formula-backed from synchronized inputs. The joint downside remains visible: payback exceeds the 60-month node life.</x:v>
      </x:c>
      <x:c r="B2" s="7" t="str">
        <x:v>Scenario outputs are formula-backed from synchronized inputs. The joint downside remains visible: payback exceeds the 60-month node life.</x:v>
      </x:c>
      <x:c r="C2" s="7" t="str">
        <x:v>Scenario outputs are formula-backed from synchronized inputs. The joint downside remains visible: payback exceeds the 60-month node life.</x:v>
      </x:c>
      <x:c r="D2" s="7" t="str">
        <x:v>Scenario outputs are formula-backed from synchronized inputs. The joint downside remains visible: payback exceeds the 60-month node life.</x:v>
      </x:c>
      <x:c r="E2" s="7" t="str">
        <x:v>Scenario outputs are formula-backed from synchronized inputs. The joint downside remains visible: payback exceeds the 60-month node life.</x:v>
      </x:c>
      <x:c r="F2" s="7" t="str">
        <x:v>Scenario outputs are formula-backed from synchronized inputs. The joint downside remains visible: payback exceeds the 60-month node life.</x:v>
      </x:c>
      <x:c r="G2" s="7" t="str">
        <x:v>Scenario outputs are formula-backed from synchronized inputs. The joint downside remains visible: payback exceeds the 60-month node life.</x:v>
      </x:c>
      <x:c r="H2" s="7" t="str">
        <x:v>Scenario outputs are formula-backed from synchronized inputs. The joint downside remains visible: payback exceeds the 60-month node life.</x:v>
      </x:c>
      <x:c r="I2" s="7" t="str">
        <x:v>Scenario outputs are formula-backed from synchronized inputs. The joint downside remains visible: payback exceeds the 60-month node life.</x:v>
      </x:c>
      <x:c r="J2" s="7" t="str">
        <x:v>Scenario outputs are formula-backed from synchronized inputs. The joint downside remains visible: payback exceeds the 60-month node life.</x:v>
      </x:c>
      <x:c r="K2" s="7" t="str">
        <x:v>Scenario outputs are formula-backed from synchronized inputs. The joint downside remains visible: payback exceeds the 60-month node life.</x:v>
      </x:c>
    </x:row>
    <x:row r="4">
      <x:c r="A4" s="12" t="str">
        <x:v>Scenario</x:v>
      </x:c>
      <x:c r="B4" s="12" t="str">
        <x:v>AOV Rs</x:v>
      </x:c>
      <x:c r="C4" s="12" t="str">
        <x:v>Orders/day</x:v>
      </x:c>
      <x:c r="D4" s="12" t="str">
        <x:v>Annual orders</x:v>
      </x:c>
      <x:c r="E4" s="12" t="str">
        <x:v>Annual NOV Rs</x:v>
      </x:c>
      <x:c r="F4" s="12" t="str">
        <x:v>EBIT Rs</x:v>
      </x:c>
      <x:c r="G4" s="12" t="str">
        <x:v>EBIT margin</x:v>
      </x:c>
      <x:c r="H4" s="12" t="str">
        <x:v>Capital turn</x:v>
      </x:c>
      <x:c r="I4" s="12" t="str">
        <x:v>ROCE</x:v>
      </x:c>
      <x:c r="J4" s="12" t="str">
        <x:v>Post-tax ROCE</x:v>
      </x:c>
      <x:c r="K4" s="12" t="str">
        <x:v>Payback months</x:v>
      </x:c>
    </x:row>
    <x:row r="5">
      <x:c r="A5" s="15" t="str">
        <x:v>Underwritten / breakeven</x:v>
      </x:c>
      <x:c r="B5" s="69" t="n">
        <x:f>'3 Unit Economics'!$B$8</x:f>
        <x:v>570.956305855632</x:v>
      </x:c>
      <x:c r="C5" s="69" t="n">
        <x:v>1400</x:v>
      </x:c>
      <x:c r="D5" s="69" t="n">
        <x:f>C5*365*'1 Inputs'!$B$6/12</x:f>
        <x:v>361958.3333333333</x:v>
      </x:c>
      <x:c r="E5" s="69" t="n">
        <x:f>B5*D5</x:f>
        <x:v>206662392.87366143</x:v>
      </x:c>
      <x:c r="F5" s="69" t="n">
        <x:f>('1 Inputs'!$B$8*B5-SUM('1 Inputs'!$B$11:$B$14))*D5-'1 Inputs'!$B$7*12</x:f>
        <x:v>-1.862645149230957e-9</x:v>
      </x:c>
      <x:c r="G5" s="62" t="n">
        <x:f>F5/E5</x:f>
        <x:v>-9.012985494509611e-18</x:v>
      </x:c>
      <x:c r="H5" s="70" t="n">
        <x:f>E5/'1 Inputs'!$B$18</x:f>
        <x:v>6.381412907211322</x:v>
      </x:c>
      <x:c r="I5" s="62" t="n">
        <x:f>F5/'1 Inputs'!$B$18</x:f>
        <x:v>-5.751558196717206e-17</x:v>
      </x:c>
      <x:c r="J5" s="62" t="n">
        <x:f>F5*(1-'1 Inputs'!$B$20)/'1 Inputs'!$B$18</x:f>
        <x:v>-4.303890998603485e-17</x:v>
      </x:c>
      <x:c r="K5" s="63" t="n">
        <x:f>IF(F5&lt;=0,0,'1 Inputs'!$B$15/(F5/12))</x:f>
        <x:v>0</x:v>
      </x:c>
    </x:row>
    <x:row r="6">
      <x:c r="A6" s="15" t="str">
        <x:v>Basket at 30% non-grocery</x:v>
      </x:c>
      <x:c r="B6" s="69" t="n">
        <x:v>729.383462929356</x:v>
      </x:c>
      <x:c r="C6" s="69" t="n">
        <x:v>1400</x:v>
      </x:c>
      <x:c r="D6" s="69" t="n">
        <x:f>C6*365*'1 Inputs'!$B$6/12</x:f>
        <x:v>361958.3333333333</x:v>
      </x:c>
      <x:c r="E6" s="69" t="n">
        <x:f>B6*D6</x:f>
        <x:v>264006422.6028048</x:v>
      </x:c>
      <x:c r="F6" s="69" t="n">
        <x:f>('1 Inputs'!$B$8*B6-SUM('1 Inputs'!$B$11:$B$14))*D6-'1 Inputs'!$B$7*12</x:f>
        <x:v>11130476.170426726</x:v>
      </x:c>
      <x:c r="G6" s="62" t="n">
        <x:f>F6/E6</x:f>
        <x:v>0.0421598689179332</x:v>
      </x:c>
      <x:c r="H6" s="70" t="n">
        <x:f>E6/'1 Inputs'!$B$18</x:f>
        <x:v>8.15210725743484</x:v>
      </x:c>
      <x:c r="I6" s="62" t="n">
        <x:f>F6/'1 Inputs'!$B$18</x:f>
        <x:v>0.34369177337838475</x:v>
      </x:c>
      <x:c r="J6" s="62" t="n">
        <x:f>F6*(1-'1 Inputs'!$B$20)/'1 Inputs'!$B$18</x:f>
        <x:v>0.2571845540190453</x:v>
      </x:c>
      <x:c r="K6" s="63" t="n">
        <x:f>IF(F6&lt;=0,0,'1 Inputs'!$B$15/(F6/12))</x:f>
        <x:v>25.335843290268553</x:v>
      </x:c>
    </x:row>
    <x:row r="7">
      <x:c r="A7" s="15" t="str">
        <x:v>Basket at 40% non-grocery</x:v>
      </x:c>
      <x:c r="B7" s="69" t="n">
        <x:v>842.198235551258</x:v>
      </x:c>
      <x:c r="C7" s="69" t="n">
        <x:v>1400</x:v>
      </x:c>
      <x:c r="D7" s="69" t="n">
        <x:f>C7*365*'1 Inputs'!$B$6/12</x:f>
        <x:v>361958.3333333333</x:v>
      </x:c>
      <x:c r="E7" s="69" t="n">
        <x:f>B7*D7</x:f>
        <x:v>304840669.6764074</x:v>
      </x:c>
      <x:c r="F7" s="69" t="n">
        <x:f>('1 Inputs'!$B$8*B7-SUM('1 Inputs'!$B$11:$B$14))*D7-'1 Inputs'!$B$7*12</x:f>
        <x:v>19056403.527412992</x:v>
      </x:c>
      <x:c r="G7" s="62" t="n">
        <x:f>F7/E7</x:f>
        <x:v>0.06251266783937205</x:v>
      </x:c>
      <x:c r="H7" s="70" t="n">
        <x:f>E7/'1 Inputs'!$B$18</x:f>
        <x:v>9.413005225896107</x:v>
      </x:c>
      <x:c r="I7" s="62" t="n">
        <x:f>F7/'1 Inputs'!$B$18</x:f>
        <x:v>0.5884320690567166</x:v>
      </x:c>
      <x:c r="J7" s="62" t="n">
        <x:f>F7*(1-'1 Inputs'!$B$20)/'1 Inputs'!$B$18</x:f>
        <x:v>0.440323717275141</x:v>
      </x:c>
      <x:c r="K7" s="63" t="n">
        <x:f>IF(F7&lt;=0,0,'1 Inputs'!$B$15/(F7/12))</x:f>
        <x:v>14.798175300724386</x:v>
      </x:c>
    </x:row>
    <x:row r="8">
      <x:c r="A8" s="71" t="str">
        <x:v>Basket at 30%, volume -30%</x:v>
      </x:c>
      <x:c r="B8" s="72" t="n">
        <x:v>729.383462929356</x:v>
      </x:c>
      <x:c r="C8" s="72" t="n">
        <x:v>980</x:v>
      </x:c>
      <x:c r="D8" s="72" t="n">
        <x:f>C8*365*'1 Inputs'!$B$6/12</x:f>
        <x:v>253370.83333333334</x:v>
      </x:c>
      <x:c r="E8" s="72" t="n">
        <x:f>B8*D8</x:f>
        <x:v>184804495.8219634</x:v>
      </x:c>
      <x:c r="F8" s="72" t="n">
        <x:f>('1 Inputs'!$B$8*B8-SUM('1 Inputs'!$B$11:$B$14))*D8-'1 Inputs'!$B$7*12</x:f>
        <x:v>4544133.319298711</x:v>
      </x:c>
      <x:c r="G8" s="73" t="n">
        <x:f>F8/E8</x:f>
        <x:v>0.02458886781453861</x:v>
      </x:c>
      <x:c r="H8" s="74" t="n">
        <x:f>E8/'1 Inputs'!$B$18</x:f>
        <x:v>5.706475080204389</x:v>
      </x:c>
      <x:c r="I8" s="73" t="n">
        <x:f>F8/'1 Inputs'!$B$18</x:f>
        <x:v>0.14031576143410435</x:v>
      </x:c>
      <x:c r="J8" s="73" t="n">
        <x:f>F8*(1-'1 Inputs'!$B$20)/'1 Inputs'!$B$18</x:f>
        <x:v>0.10499828428114028</x:v>
      </x:c>
      <x:c r="K8" s="75" t="n">
        <x:f>IF(F8&lt;=0,0,'1 Inputs'!$B$15/(F8/12))</x:f>
        <x:v>62.058038394771536</x:v>
      </x:c>
    </x:row>
    <x:row r="11" ht="22" customHeight="1">
      <x:c r="A11" s="20" t="str">
        <x:v>Supplementary return measures</x:v>
      </x:c>
      <x:c r="B11" s="20" t="str">
        <x:v>Supplementary return measures</x:v>
      </x:c>
      <x:c r="C11" s="20" t="str">
        <x:v>Supplementary return measures</x:v>
      </x:c>
      <x:c r="D11" s="20" t="str">
        <x:v>Supplementary return measures</x:v>
      </x:c>
      <x:c r="E11" s="20" t="str">
        <x:v>Supplementary return measures</x:v>
      </x:c>
      <x:c r="F11" s="20" t="str">
        <x:v>Supplementary return measures</x:v>
      </x:c>
      <x:c r="G11" s="20" t="str">
        <x:v>Supplementary return measures</x:v>
      </x:c>
      <x:c r="H11" s="20" t="str">
        <x:v>Supplementary return measures</x:v>
      </x:c>
      <x:c r="I11" s="20" t="str">
        <x:v>Supplementary return measures</x:v>
      </x:c>
      <x:c r="J11" s="20" t="str">
        <x:v>Supplementary return measures</x:v>
      </x:c>
      <x:c r="K11" s="20" t="str">
        <x:v>Supplementary return measures</x:v>
      </x:c>
    </x:row>
    <x:row r="12">
      <x:c r="A12" s="12" t="str">
        <x:v>Measure</x:v>
      </x:c>
      <x:c r="B12" s="12" t="str">
        <x:v>Value</x:v>
      </x:c>
      <x:c r="C12" s="12" t="str">
        <x:v>Unit</x:v>
      </x:c>
      <x:c r="D12" s="12" t="str">
        <x:v>Boundary</x:v>
      </x:c>
    </x:row>
    <x:row r="13">
      <x:c r="A13" s="15" t="str">
        <x:v>IRR at hurdle AOV</x:v>
      </x:c>
      <x:c r="B13" s="62" t="n">
        <x:v>0.34357</x:v>
      </x:c>
      <x:c r="C13" s="15" t="str">
        <x:v>%</x:v>
      </x:c>
      <x:c r="D13" s="15" t="str">
        <x:v>5-year life, 3-month linear ramp</x:v>
      </x:c>
    </x:row>
    <x:row r="14">
      <x:c r="A14" s="15" t="str">
        <x:v>NPV at 12%</x:v>
      </x:c>
      <x:c r="B14" s="76" t="n">
        <x:v>15760000</x:v>
      </x:c>
      <x:c r="C14" s="15" t="str">
        <x:v>Rs</x:v>
      </x:c>
      <x:c r="D14" s="15" t="str">
        <x:v>No WACC disclosed</x:v>
      </x:c>
    </x:row>
    <x:row r="15">
      <x:c r="A15" s="15" t="str">
        <x:v>NPV at 15%</x:v>
      </x:c>
      <x:c r="B15" s="76" t="n">
        <x:v>12890000</x:v>
      </x:c>
      <x:c r="C15" s="15" t="str">
        <x:v>Rs</x:v>
      </x:c>
      <x:c r="D15" s="15" t="str">
        <x:v>Discount-rate sensitivity</x:v>
      </x:c>
    </x:row>
    <x:row r="16">
      <x:c r="A16" s="15" t="str">
        <x:v>Node-life guardrail</x:v>
      </x:c>
      <x:c r="B16" s="15" t="n">
        <x:v>60</x:v>
      </x:c>
      <x:c r="C16" s="15" t="str">
        <x:v>months</x:v>
      </x:c>
      <x:c r="D16" s="15" t="str">
        <x:v>Joint downside payback must remain below this</x:v>
      </x:c>
    </x:row>
  </x:sheetData>
  <x:mergeCells>
    <x:mergeCell ref="A1:K1"/>
    <x:mergeCell ref="A2:K2"/>
    <x:mergeCell ref="A11:K11"/>
  </x:mergeCells>
  <x:pageMargins left="0.7" right="0.7" top="0.75" bottom="0.75" header="0.3" footer="0.3"/>
  <x:drawing xmlns:r="http://schemas.openxmlformats.org/officeDocument/2006/relationships" r:id="R386c53ae8b374eaf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50" hidden="0" customWidth="1"/>
  </x:cols>
  <x:sheetData>
    <x:row r="1" ht="30" customHeight="1">
      <x:c r="A1" s="3" t="str">
        <x:v>Dead-zone strategy comparison</x:v>
      </x:c>
      <x:c r="B1" s="3" t="str">
        <x:v>Dead-zone strategy comparison</x:v>
      </x:c>
      <x:c r="C1" s="3" t="str">
        <x:v>Dead-zone strategy comparison</x:v>
      </x:c>
      <x:c r="D1" s="3" t="str">
        <x:v>Dead-zone strategy comparison</x:v>
      </x:c>
      <x:c r="E1" s="3" t="str">
        <x:v>Dead-zone strategy comparison</x:v>
      </x:c>
      <x:c r="F1" s="3" t="str">
        <x:v>Dead-zone strategy comparison</x:v>
      </x:c>
      <x:c r="G1" s="3" t="str">
        <x:v>Dead-zone strategy comparison</x:v>
      </x:c>
    </x:row>
    <x:row r="2" ht="34" customHeight="1">
      <x:c r="A2" s="7" t="str">
        <x:v>Cost levers reduce the hole; only adjacent-catchment repurpose closes it. Recommendation is conditional on the site filter.</x:v>
      </x:c>
      <x:c r="B2" s="7" t="str">
        <x:v>Cost levers reduce the hole; only adjacent-catchment repurpose closes it. Recommendation is conditional on the site filter.</x:v>
      </x:c>
      <x:c r="C2" s="7" t="str">
        <x:v>Cost levers reduce the hole; only adjacent-catchment repurpose closes it. Recommendation is conditional on the site filter.</x:v>
      </x:c>
      <x:c r="D2" s="7" t="str">
        <x:v>Cost levers reduce the hole; only adjacent-catchment repurpose closes it. Recommendation is conditional on the site filter.</x:v>
      </x:c>
      <x:c r="E2" s="7" t="str">
        <x:v>Cost levers reduce the hole; only adjacent-catchment repurpose closes it. Recommendation is conditional on the site filter.</x:v>
      </x:c>
      <x:c r="F2" s="7" t="str">
        <x:v>Cost levers reduce the hole; only adjacent-catchment repurpose closes it. Recommendation is conditional on the site filter.</x:v>
      </x:c>
      <x:c r="G2" s="7" t="str">
        <x:v>Cost levers reduce the hole; only adjacent-catchment repurpose closes it. Recommendation is conditional on the site filter.</x:v>
      </x:c>
    </x:row>
    <x:row r="4">
      <x:c r="A4" s="12" t="str">
        <x:v>Strategy</x:v>
      </x:c>
      <x:c r="B4" s="12" t="str">
        <x:v>Dead-zone cost Rs</x:v>
      </x:c>
      <x:c r="C4" s="12" t="str">
        <x:v>Residual demand</x:v>
      </x:c>
      <x:c r="D4" s="12" t="str">
        <x:v>Reactivation Rs</x:v>
      </x:c>
      <x:c r="E4" s="12" t="str">
        <x:v>Lead days</x:v>
      </x:c>
      <x:c r="F4" s="12" t="str">
        <x:v>Feasible</x:v>
      </x:c>
      <x:c r="G4" s="12" t="str">
        <x:v>Decision note</x:v>
      </x:c>
    </x:row>
    <x:row r="5">
      <x:c r="A5" s="15" t="str">
        <x:v>Do nothing</x:v>
      </x:c>
      <x:c r="B5" s="76" t="n">
        <x:v>3157000</x:v>
      </x:c>
      <x:c r="C5" s="62" t="n">
        <x:v>0.708</x:v>
      </x:c>
      <x:c r="D5" s="15" t="n">
        <x:v>0</x:v>
      </x:c>
      <x:c r="E5" s="15" t="n">
        <x:v>0</x:v>
      </x:c>
      <x:c r="F5" s="15" t="str">
        <x:v>Yes</x:v>
      </x:c>
      <x:c r="G5" s="15" t="str">
        <x:v>Highest cash burn</x:v>
      </x:c>
    </x:row>
    <x:row r="6">
      <x:c r="A6" s="15" t="str">
        <x:v>Labour flex</x:v>
      </x:c>
      <x:c r="B6" s="76" t="n">
        <x:v>2159500</x:v>
      </x:c>
      <x:c r="C6" s="62" t="n">
        <x:v>0.591</x:v>
      </x:c>
      <x:c r="D6" s="15" t="n">
        <x:v>274119</x:v>
      </x:c>
      <x:c r="E6" s="15" t="n">
        <x:v>28</x:v>
      </x:c>
      <x:c r="F6" s="15" t="str">
        <x:v>Yes</x:v>
      </x:c>
      <x:c r="G6" s="15" t="str">
        <x:v>Reduces fixed base</x:v>
      </x:c>
    </x:row>
    <x:row r="7">
      <x:c r="A7" s="15" t="str">
        <x:v>Cold right-size</x:v>
      </x:c>
      <x:c r="B7" s="76" t="n">
        <x:v>2121001</x:v>
      </x:c>
      <x:c r="C7" s="62" t="n">
        <x:v>0.57</x:v>
      </x:c>
      <x:c r="D7" s="15" t="n">
        <x:v>274119</x:v>
      </x:c>
      <x:c r="E7" s="15" t="n">
        <x:v>28</x:v>
      </x:c>
      <x:c r="F7" s="15" t="str">
        <x:v>Yes</x:v>
      </x:c>
      <x:c r="G7" s="15" t="str">
        <x:v>Adds energy lever</x:v>
      </x:c>
    </x:row>
    <x:row r="8">
      <x:c r="A8" s="15" t="str">
        <x:v>Small-format</x:v>
      </x:c>
      <x:c r="B8" s="76" t="n">
        <x:v>1851501</x:v>
      </x:c>
      <x:c r="C8" s="62" t="n">
        <x:v>0.486</x:v>
      </x:c>
      <x:c r="D8" s="15" t="n">
        <x:v>274119</x:v>
      </x:c>
      <x:c r="E8" s="15" t="n">
        <x:v>28</x:v>
      </x:c>
      <x:c r="F8" s="15" t="str">
        <x:v>Yes</x:v>
      </x:c>
      <x:c r="G8" s="15" t="str">
        <x:v>Lowest cost-only case</x:v>
      </x:c>
    </x:row>
    <x:row r="9">
      <x:c r="A9" s="52" t="str">
        <x:v>Repurpose</x:v>
      </x:c>
      <x:c r="B9" s="56" t="n">
        <x:v>0</x:v>
      </x:c>
      <x:c r="C9" s="68" t="n">
        <x:v>0.486</x:v>
      </x:c>
      <x:c r="D9" s="52" t="n">
        <x:v>0</x:v>
      </x:c>
      <x:c r="E9" s="52" t="n">
        <x:v>0</x:v>
      </x:c>
      <x:c r="F9" s="52" t="str">
        <x:v>Conditional</x:v>
      </x:c>
      <x:c r="G9" s="52" t="str">
        <x:v>BEST if uncontested adjacent demand ≥513/day</x:v>
      </x:c>
    </x:row>
    <x:row r="12" ht="22" customHeight="1">
      <x:c r="A12" s="20" t="str">
        <x:v>Binding controls</x:v>
      </x:c>
      <x:c r="B12" s="20" t="str">
        <x:v>Binding controls</x:v>
      </x:c>
      <x:c r="C12" s="20" t="str">
        <x:v>Binding controls</x:v>
      </x:c>
      <x:c r="D12" s="20" t="str">
        <x:v>Binding controls</x:v>
      </x:c>
      <x:c r="E12" s="20" t="str">
        <x:v>Binding controls</x:v>
      </x:c>
      <x:c r="F12" s="20" t="str">
        <x:v>Binding controls</x:v>
      </x:c>
      <x:c r="G12" s="20" t="str">
        <x:v>Binding controls</x:v>
      </x:c>
    </x:row>
    <x:row r="13">
      <x:c r="A13" s="12" t="str">
        <x:v>Control</x:v>
      </x:c>
      <x:c r="B13" s="12" t="str">
        <x:v>Value</x:v>
      </x:c>
      <x:c r="C13" s="12" t="str">
        <x:v>Unit</x:v>
      </x:c>
      <x:c r="D13" s="12" t="str">
        <x:v>Why it matters</x:v>
      </x:c>
    </x:row>
    <x:row r="14">
      <x:c r="A14" s="15" t="str">
        <x:v>Wind-down rule</x:v>
      </x:c>
      <x:c r="B14" s="76" t="n">
        <x:v>7</x:v>
      </x:c>
      <x:c r="C14" s="15" t="str">
        <x:v>weeks</x:v>
      </x:c>
      <x:c r="D14" s="15" t="str">
        <x:v>Break must be long enough to justify shutdown</x:v>
      </x:c>
    </x:row>
    <x:row r="15">
      <x:c r="A15" s="15" t="str">
        <x:v>Ramp lead</x:v>
      </x:c>
      <x:c r="B15" s="76" t="n">
        <x:v>28</x:v>
      </x:c>
      <x:c r="C15" s="15" t="str">
        <x:v>days</x:v>
      </x:c>
      <x:c r="D15" s="15" t="str">
        <x:v>Capacity complete before semester demand returns</x:v>
      </x:c>
    </x:row>
    <x:row r="16">
      <x:c r="A16" s="15" t="str">
        <x:v>Uncontested site filter</x:v>
      </x:c>
      <x:c r="B16" s="76" t="n">
        <x:v>513</x:v>
      </x:c>
      <x:c r="C16" s="15" t="str">
        <x:v>orders/day</x:v>
      </x:c>
      <x:c r="D16" s="15" t="str">
        <x:v>Adjacent demand must survive incumbent subtraction</x:v>
      </x:c>
    </x:row>
    <x:row r="17">
      <x:c r="A17" s="15" t="str">
        <x:v>Restart WC re-injection</x:v>
      </x:c>
      <x:c r="B17" s="76" t="n">
        <x:v>7552294.738145531</x:v>
      </x:c>
      <x:c r="C17" s="15" t="str">
        <x:v>Rs</x:v>
      </x:c>
      <x:c r="D17" s="15" t="str">
        <x:v>Same adopted working-capital definition</x:v>
      </x:c>
    </x:row>
  </x:sheetData>
  <x:mergeCells>
    <x:mergeCell ref="A1:G1"/>
    <x:mergeCell ref="A2:G2"/>
    <x:mergeCell ref="A12:G1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</x:cols>
  <x:sheetData>
    <x:row r="1" ht="30" customHeight="1">
      <x:c r="A1" s="3" t="str">
        <x:v>Trade-offs and risk coverage</x:v>
      </x:c>
      <x:c r="B1" s="3" t="str">
        <x:v>Trade-offs and risk coverage</x:v>
      </x:c>
      <x:c r="C1" s="3" t="str">
        <x:v>Trade-offs and risk coverage</x:v>
      </x:c>
      <x:c r="D1" s="3" t="str">
        <x:v>Trade-offs and risk coverage</x:v>
      </x:c>
      <x:c r="E1" s="3" t="str">
        <x:v>Trade-offs and risk coverage</x:v>
      </x:c>
      <x:c r="F1" s="3" t="str">
        <x:v>Trade-offs and risk coverage</x:v>
      </x:c>
      <x:c r="G1" s="3" t="str">
        <x:v>Trade-offs and risk coverage</x:v>
      </x:c>
    </x:row>
    <x:row r="2" ht="34" customHeight="1">
      <x:c r="A2" s="7" t="str">
        <x:v>Every shock is restated as breakeven AOV. Three clear the 30% basket case; all four clear the 40% case, but the joint volume downside still breaches node-life payback.</x:v>
      </x:c>
      <x:c r="B2" s="7" t="str">
        <x:v>Every shock is restated as breakeven AOV. Three clear the 30% basket case; all four clear the 40% case, but the joint volume downside still breaches node-life payback.</x:v>
      </x:c>
      <x:c r="C2" s="7" t="str">
        <x:v>Every shock is restated as breakeven AOV. Three clear the 30% basket case; all four clear the 40% case, but the joint volume downside still breaches node-life payback.</x:v>
      </x:c>
      <x:c r="D2" s="7" t="str">
        <x:v>Every shock is restated as breakeven AOV. Three clear the 30% basket case; all four clear the 40% case, but the joint volume downside still breaches node-life payback.</x:v>
      </x:c>
      <x:c r="E2" s="7" t="str">
        <x:v>Every shock is restated as breakeven AOV. Three clear the 30% basket case; all four clear the 40% case, but the joint volume downside still breaches node-life payback.</x:v>
      </x:c>
      <x:c r="F2" s="7" t="str">
        <x:v>Every shock is restated as breakeven AOV. Three clear the 30% basket case; all four clear the 40% case, but the joint volume downside still breaches node-life payback.</x:v>
      </x:c>
      <x:c r="G2" s="7" t="str">
        <x:v>Every shock is restated as breakeven AOV. Three clear the 30% basket case; all four clear the 40% case, but the joint volume downside still breaches node-life payback.</x:v>
      </x:c>
    </x:row>
    <x:row r="4">
      <x:c r="A4" s="12" t="str">
        <x:v>Shock</x:v>
      </x:c>
      <x:c r="B4" s="12" t="str">
        <x:v>Breakeven AOV Rs</x:v>
      </x:c>
      <x:c r="C4" s="12" t="str">
        <x:v>Delta vs spine</x:v>
      </x:c>
      <x:c r="D4" s="12" t="str">
        <x:v>Covered at 30%</x:v>
      </x:c>
      <x:c r="E4" s="12" t="str">
        <x:v>Covered at 40%</x:v>
      </x:c>
      <x:c r="F4" s="12" t="str">
        <x:v>Evidence tier</x:v>
      </x:c>
      <x:c r="G4" s="12" t="str">
        <x:v>Interpretation</x:v>
      </x:c>
    </x:row>
    <x:row r="5">
      <x:c r="A5" s="71" t="str">
        <x:v>Volume -30%</x:v>
      </x:c>
      <x:c r="B5" s="75" t="n">
        <x:v>640.0409573529525</x:v>
      </x:c>
      <x:c r="C5" s="75" t="n">
        <x:f>B5-'1 Inputs'!$B$39</x:f>
        <x:v>66.94486140669562</x:v>
      </x:c>
      <x:c r="D5" s="71" t="str">
        <x:f>IF(B5&lt;='1 Inputs'!$B$32,"Yes","No")</x:f>
        <x:v>Yes</x:v>
      </x:c>
      <x:c r="E5" s="71" t="str">
        <x:f>IF(B5&lt;='1 Inputs'!$B$33,"Yes","No")</x:f>
        <x:v>Yes</x:v>
      </x:c>
      <x:c r="F5" s="71" t="str">
        <x:v>D/A</x:v>
      </x:c>
      <x:c r="G5" s="71" t="str">
        <x:v>Binding at 30%; joint downside payback = 62 months</x:v>
      </x:c>
    </x:row>
    <x:row r="6">
      <x:c r="A6" s="15" t="str">
        <x:v>Shrinkage outside residual</x:v>
      </x:c>
      <x:c r="B6" s="63" t="n">
        <x:v>615.1349533088679</x:v>
      </x:c>
      <x:c r="C6" s="63" t="n">
        <x:f>B6-'1 Inputs'!$B$39</x:f>
        <x:v>42.038857362611</x:v>
      </x:c>
      <x:c r="D6" s="15" t="str">
        <x:f>IF(B6&lt;='1 Inputs'!$B$32,"Yes","No")</x:f>
        <x:v>Yes</x:v>
      </x:c>
      <x:c r="E6" s="15" t="str">
        <x:f>IF(B6&lt;='1 Inputs'!$B$33,"Yes","No")</x:f>
        <x:v>Yes</x:v>
      </x:c>
      <x:c r="F6" s="15" t="str">
        <x:v>A</x:v>
      </x:c>
      <x:c r="G6" s="15" t="str">
        <x:v>Upper bound; possible double count with residual</x:v>
      </x:c>
    </x:row>
    <x:row r="7">
      <x:c r="A7" s="15" t="str">
        <x:v>Gig social-security levy</x:v>
      </x:c>
      <x:c r="B7" s="63" t="n">
        <x:v>588.3702117749687</x:v>
      </x:c>
      <x:c r="C7" s="63" t="n">
        <x:f>B7-'1 Inputs'!$B$39</x:f>
        <x:v>15.274115828711729</x:v>
      </x:c>
      <x:c r="D7" s="15" t="str">
        <x:f>IF(B7&lt;='1 Inputs'!$B$32,"Yes","No")</x:f>
        <x:v>Yes</x:v>
      </x:c>
      <x:c r="E7" s="15" t="str">
        <x:f>IF(B7&lt;='1 Inputs'!$B$33,"Yes","No")</x:f>
        <x:v>Yes</x:v>
      </x:c>
      <x:c r="F7" s="15" t="str">
        <x:v>D</x:v>
      </x:c>
      <x:c r="G7" s="15" t="str">
        <x:v>5% worker-payment cap</x:v>
      </x:c>
    </x:row>
    <x:row r="8">
      <x:c r="A8" s="15" t="str">
        <x:v>Calendar fragmentation</x:v>
      </x:c>
      <x:c r="B8" s="63" t="n">
        <x:v>582.039961172766</x:v>
      </x:c>
      <x:c r="C8" s="63" t="n">
        <x:f>B8-'1 Inputs'!$B$39</x:f>
        <x:v>8.943865226509047</x:v>
      </x:c>
      <x:c r="D8" s="15" t="str">
        <x:f>IF(B8&lt;='1 Inputs'!$B$32,"Yes","No")</x:f>
        <x:v>Yes</x:v>
      </x:c>
      <x:c r="E8" s="15" t="str">
        <x:f>IF(B8&lt;='1 Inputs'!$B$33,"Yes","No")</x:f>
        <x:v>Yes</x:v>
      </x:c>
      <x:c r="F8" s="15" t="str">
        <x:v>D</x:v>
      </x:c>
      <x:c r="G8" s="15" t="str">
        <x:v>+29% dead-zone cost amortised over term</x:v>
      </x:c>
    </x:row>
    <x:row r="11" ht="22" customHeight="1">
      <x:c r="A11" s="20" t="str">
        <x:v>Trade-off summary</x:v>
      </x:c>
      <x:c r="B11" s="20" t="str">
        <x:v>Trade-off summary</x:v>
      </x:c>
      <x:c r="C11" s="20" t="str">
        <x:v>Trade-off summary</x:v>
      </x:c>
      <x:c r="D11" s="20" t="str">
        <x:v>Trade-off summary</x:v>
      </x:c>
      <x:c r="E11" s="20" t="str">
        <x:v>Trade-off summary</x:v>
      </x:c>
      <x:c r="F11" s="20" t="str">
        <x:v>Trade-off summary</x:v>
      </x:c>
      <x:c r="G11" s="20" t="str">
        <x:v>Trade-off summary</x:v>
      </x:c>
    </x:row>
    <x:row r="12">
      <x:c r="A12" s="12" t="str">
        <x:v>Decision</x:v>
      </x:c>
      <x:c r="B12" s="12" t="str">
        <x:v>Benefit</x:v>
      </x:c>
      <x:c r="C12" s="12" t="str">
        <x:v>Cost / risk</x:v>
      </x:c>
      <x:c r="D12" s="12" t="str">
        <x:v>Control</x:v>
      </x:c>
    </x:row>
    <x:row r="13">
      <x:c r="A13" s="15" t="str">
        <x:v>Per-gate roster</x:v>
      </x:c>
      <x:c r="B13" s="15" t="str">
        <x:v>Operationally defensible</x:v>
      </x:c>
      <x:c r="C13" s="15" t="str">
        <x:v>₹0.48/order above pooled case</x:v>
      </x:c>
      <x:c r="D13" s="15" t="str">
        <x:v>Pilot cross-gate movement before pooling</x:v>
      </x:c>
    </x:row>
    <x:row r="14">
      <x:c r="A14" s="15" t="str">
        <x:v>Repurpose</x:v>
      </x:c>
      <x:c r="B14" s="15" t="str">
        <x:v>Closes dead-zone deficit</x:v>
      </x:c>
      <x:c r="C14" s="15" t="str">
        <x:v>Needs uncontested adjacent demand</x:v>
      </x:c>
      <x:c r="D14" s="15" t="str">
        <x:v>Site filter before lease</x:v>
      </x:c>
    </x:row>
    <x:row r="15">
      <x:c r="A15" s="15" t="str">
        <x:v>Basket lever</x:v>
      </x:c>
      <x:c r="B15" s="15" t="str">
        <x:v>Raises margin and ROCE</x:v>
      </x:c>
      <x:c r="C15" s="15" t="str">
        <x:v>Four-quarter regression is thin</x:v>
      </x:c>
      <x:c r="D15" s="15" t="str">
        <x:v>Day-90 absolute floors</x:v>
      </x:c>
    </x:row>
    <x:row r="16">
      <x:c r="A16" s="15" t="str">
        <x:v>Calendar shutdown</x:v>
      </x:c>
      <x:c r="B16" s="15" t="str">
        <x:v>Reduces dead-zone burn</x:v>
      </x:c>
      <x:c r="C16" s="15" t="str">
        <x:v>28-day restart and ₹75.5L WC</x:v>
      </x:c>
      <x:c r="D16" s="15" t="str">
        <x:v>T-28 mobilisation gate</x:v>
      </x:c>
    </x:row>
  </x:sheetData>
  <x:mergeCells>
    <x:mergeCell ref="A1:G1"/>
    <x:mergeCell ref="A2:G2"/>
    <x:mergeCell ref="A11:G1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0" customHeight="1">
      <x:c r="A1" s="3" t="str">
        <x:v>Public-safe AISHE district screen</x:v>
      </x:c>
      <x:c r="B1" s="3" t="str">
        <x:v>Public-safe AISHE district screen</x:v>
      </x:c>
      <x:c r="C1" s="3" t="str">
        <x:v>Public-safe AISHE district screen</x:v>
      </x:c>
      <x:c r="D1" s="3" t="str">
        <x:v>Public-safe AISHE district screen</x:v>
      </x:c>
      <x:c r="E1" s="3" t="str">
        <x:v>Public-safe AISHE district screen</x:v>
      </x:c>
      <x:c r="F1" s="3" t="str">
        <x:v>Public-safe AISHE district screen</x:v>
      </x:c>
      <x:c r="G1" s="3" t="str">
        <x:v>Public-safe AISHE district screen</x:v>
      </x:c>
      <x:c r="H1" s="3" t="str">
        <x:v>Public-safe AISHE district screen</x:v>
      </x:c>
      <x:c r="I1" s="3" t="str">
        <x:v>Public-safe AISHE district screen</x:v>
      </x:c>
      <x:c r="J1" s="3" t="str">
        <x:v>Public-safe AISHE district screen</x:v>
      </x:c>
    </x:row>
    <x:row r="2" ht="34" customHeight="1">
      <x:c r="A2" s="7" t="str">
        <x:v>Aggregate district rows only. The score applies state residential intensity and hostel occupancy to district geometry; it is an imputation, not observed district enrolment.</x:v>
      </x:c>
      <x:c r="B2" s="7" t="str">
        <x:v>Aggregate district rows only. The score applies state residential intensity and hostel occupancy to district geometry; it is an imputation, not observed district enrolment.</x:v>
      </x:c>
      <x:c r="C2" s="7" t="str">
        <x:v>Aggregate district rows only. The score applies state residential intensity and hostel occupancy to district geometry; it is an imputation, not observed district enrolment.</x:v>
      </x:c>
      <x:c r="D2" s="7" t="str">
        <x:v>Aggregate district rows only. The score applies state residential intensity and hostel occupancy to district geometry; it is an imputation, not observed district enrolment.</x:v>
      </x:c>
      <x:c r="E2" s="7" t="str">
        <x:v>Aggregate district rows only. The score applies state residential intensity and hostel occupancy to district geometry; it is an imputation, not observed district enrolment.</x:v>
      </x:c>
      <x:c r="F2" s="7" t="str">
        <x:v>Aggregate district rows only. The score applies state residential intensity and hostel occupancy to district geometry; it is an imputation, not observed district enrolment.</x:v>
      </x:c>
      <x:c r="G2" s="7" t="str">
        <x:v>Aggregate district rows only. The score applies state residential intensity and hostel occupancy to district geometry; it is an imputation, not observed district enrolment.</x:v>
      </x:c>
      <x:c r="H2" s="7" t="str">
        <x:v>Aggregate district rows only. The score applies state residential intensity and hostel occupancy to district geometry; it is an imputation, not observed district enrolment.</x:v>
      </x:c>
      <x:c r="I2" s="7" t="str">
        <x:v>Aggregate district rows only. The score applies state residential intensity and hostel occupancy to district geometry; it is an imputation, not observed district enrolment.</x:v>
      </x:c>
      <x:c r="J2" s="7" t="str">
        <x:v>Aggregate district rows only. The score applies state residential intensity and hostel occupancy to district geometry; it is an imputation, not observed district enrolment.</x:v>
      </x:c>
    </x:row>
    <x:row r="4">
      <x:c r="A4" s="12" t="str">
        <x:v>Rank</x:v>
      </x:c>
      <x:c r="B4" s="12" t="str">
        <x:v>District</x:v>
      </x:c>
      <x:c r="C4" s="12" t="str">
        <x:v>State</x:v>
      </x:c>
      <x:c r="D4" s="12" t="str">
        <x:v>Urban colleges</x:v>
      </x:c>
      <x:c r="E4" s="12" t="str">
        <x:v>Universities</x:v>
      </x:c>
      <x:c r="F4" s="12" t="str">
        <x:v>High-propensity standalone</x:v>
      </x:c>
      <x:c r="G4" s="12" t="str">
        <x:v>Urban share</x:v>
      </x:c>
      <x:c r="H4" s="12" t="str">
        <x:v>Residential index</x:v>
      </x:c>
      <x:c r="I4" s="12" t="str">
        <x:v>Geometry</x:v>
      </x:c>
      <x:c r="J4" s="12" t="str">
        <x:v>Proximity</x:v>
      </x:c>
    </x:row>
    <x:row r="5">
      <x:c r="A5" s="15" t="n">
        <x:v>1</x:v>
      </x:c>
      <x:c r="B5" s="15" t="str">
        <x:v>Khordha</x:v>
      </x:c>
      <x:c r="C5" s="15" t="str">
        <x:v>Odisha</x:v>
      </x:c>
      <x:c r="D5" s="15" t="n">
        <x:v>169</x:v>
      </x:c>
      <x:c r="E5" s="15" t="n">
        <x:v>17</x:v>
      </x:c>
      <x:c r="F5" s="15" t="n">
        <x:v>22</x:v>
      </x:c>
      <x:c r="G5" s="62" t="n">
        <x:v>0.5504885993</x:v>
      </x:c>
      <x:c r="H5" s="64" t="n">
        <x:v>20.148</x:v>
      </x:c>
      <x:c r="I5" s="15" t="str">
        <x:v>cluster-dense</x:v>
      </x:c>
      <x:c r="J5" s="15" t="str">
        <x:v>stacked</x:v>
      </x:c>
    </x:row>
    <x:row r="6">
      <x:c r="A6" s="15" t="n">
        <x:v>2</x:v>
      </x:c>
      <x:c r="B6" s="15" t="str">
        <x:v>Kalaburagi</x:v>
      </x:c>
      <x:c r="C6" s="15" t="str">
        <x:v>Karnataka</x:v>
      </x:c>
      <x:c r="D6" s="15" t="n">
        <x:v>229</x:v>
      </x:c>
      <x:c r="E6" s="15" t="n">
        <x:v>5</x:v>
      </x:c>
      <x:c r="F6" s="15" t="n">
        <x:v>36</x:v>
      </x:c>
      <x:c r="G6" s="62" t="n">
        <x:v>0.7607973422</x:v>
      </x:c>
      <x:c r="H6" s="64" t="n">
        <x:v>11.1684</x:v>
      </x:c>
      <x:c r="I6" s="15" t="str">
        <x:v>cluster-dense</x:v>
      </x:c>
      <x:c r="J6" s="15" t="str">
        <x:v>stacked</x:v>
      </x:c>
    </x:row>
    <x:row r="7">
      <x:c r="A7" s="15" t="n">
        <x:v>3</x:v>
      </x:c>
      <x:c r="B7" s="15" t="str">
        <x:v>Belagavi</x:v>
      </x:c>
      <x:c r="C7" s="15" t="str">
        <x:v>Karnataka</x:v>
      </x:c>
      <x:c r="D7" s="15" t="n">
        <x:v>190</x:v>
      </x:c>
      <x:c r="E7" s="15" t="n">
        <x:v>3</x:v>
      </x:c>
      <x:c r="F7" s="15" t="n">
        <x:v>15</x:v>
      </x:c>
      <x:c r="G7" s="62" t="n">
        <x:v>0.5846153846</x:v>
      </x:c>
      <x:c r="H7" s="64" t="n">
        <x:v>11.1684</x:v>
      </x:c>
      <x:c r="I7" s="15" t="str">
        <x:v>cluster-dense</x:v>
      </x:c>
      <x:c r="J7" s="15" t="str">
        <x:v>stacked</x:v>
      </x:c>
    </x:row>
    <x:row r="8">
      <x:c r="A8" s="15" t="n">
        <x:v>4</x:v>
      </x:c>
      <x:c r="B8" s="15" t="str">
        <x:v>Visakhapatnam</x:v>
      </x:c>
      <x:c r="C8" s="15" t="str">
        <x:v>Andhra Pradesh</x:v>
      </x:c>
      <x:c r="D8" s="15" t="n">
        <x:v>133</x:v>
      </x:c>
      <x:c r="E8" s="15" t="n">
        <x:v>5</x:v>
      </x:c>
      <x:c r="F8" s="15" t="n">
        <x:v>12</x:v>
      </x:c>
      <x:c r="G8" s="62" t="n">
        <x:v>0.6425120773</x:v>
      </x:c>
      <x:c r="H8" s="64" t="n">
        <x:v>14.9688</x:v>
      </x:c>
      <x:c r="I8" s="15" t="str">
        <x:v>cluster-dense</x:v>
      </x:c>
      <x:c r="J8" s="15" t="str">
        <x:v>stacked</x:v>
      </x:c>
    </x:row>
    <x:row r="9">
      <x:c r="A9" s="15" t="n">
        <x:v>5</x:v>
      </x:c>
      <x:c r="B9" s="15" t="str">
        <x:v>Dharwad</x:v>
      </x:c>
      <x:c r="C9" s="15" t="str">
        <x:v>Karnataka</x:v>
      </x:c>
      <x:c r="D9" s="15" t="n">
        <x:v>160</x:v>
      </x:c>
      <x:c r="E9" s="15" t="n">
        <x:v>7</x:v>
      </x:c>
      <x:c r="F9" s="15" t="n">
        <x:v>11</x:v>
      </x:c>
      <x:c r="G9" s="62" t="n">
        <x:v>0.8121827411</x:v>
      </x:c>
      <x:c r="H9" s="64" t="n">
        <x:v>11.1684</x:v>
      </x:c>
      <x:c r="I9" s="15" t="str">
        <x:v>cluster-dense</x:v>
      </x:c>
      <x:c r="J9" s="15" t="str">
        <x:v>stacked</x:v>
      </x:c>
    </x:row>
    <x:row r="10">
      <x:c r="A10" s="15" t="n">
        <x:v>6</x:v>
      </x:c>
      <x:c r="B10" s="15" t="str">
        <x:v>Dakshina Kannada</x:v>
      </x:c>
      <x:c r="C10" s="15" t="str">
        <x:v>Karnataka</x:v>
      </x:c>
      <x:c r="D10" s="15" t="n">
        <x:v>158</x:v>
      </x:c>
      <x:c r="E10" s="15" t="n">
        <x:v>6</x:v>
      </x:c>
      <x:c r="F10" s="15" t="n">
        <x:v>6</x:v>
      </x:c>
      <x:c r="G10" s="62" t="n">
        <x:v>0.5096774194</x:v>
      </x:c>
      <x:c r="H10" s="64" t="n">
        <x:v>11.1684</x:v>
      </x:c>
      <x:c r="I10" s="15" t="str">
        <x:v>cluster-dense</x:v>
      </x:c>
      <x:c r="J10" s="15" t="str">
        <x:v>stacked</x:v>
      </x:c>
    </x:row>
    <x:row r="11">
      <x:c r="A11" s="15" t="n">
        <x:v>7</x:v>
      </x:c>
      <x:c r="B11" s="15" t="str">
        <x:v>Mysuru</x:v>
      </x:c>
      <x:c r="C11" s="15" t="str">
        <x:v>Karnataka</x:v>
      </x:c>
      <x:c r="D11" s="15" t="n">
        <x:v>156</x:v>
      </x:c>
      <x:c r="E11" s="15" t="n">
        <x:v>5</x:v>
      </x:c>
      <x:c r="F11" s="15" t="n">
        <x:v>13</x:v>
      </x:c>
      <x:c r="G11" s="62" t="n">
        <x:v>0.7572815534</x:v>
      </x:c>
      <x:c r="H11" s="64" t="n">
        <x:v>11.1684</x:v>
      </x:c>
      <x:c r="I11" s="15" t="str">
        <x:v>cluster-dense</x:v>
      </x:c>
      <x:c r="J11" s="15" t="str">
        <x:v>stacked</x:v>
      </x:c>
    </x:row>
    <x:row r="12">
      <x:c r="A12" s="15" t="n">
        <x:v>8</x:v>
      </x:c>
      <x:c r="B12" s="15" t="str">
        <x:v>Bidar</x:v>
      </x:c>
      <x:c r="C12" s="15" t="str">
        <x:v>Karnataka</x:v>
      </x:c>
      <x:c r="D12" s="15" t="n">
        <x:v>148</x:v>
      </x:c>
      <x:c r="E12" s="15" t="n">
        <x:v>2</x:v>
      </x:c>
      <x:c r="F12" s="15" t="n">
        <x:v>23</x:v>
      </x:c>
      <x:c r="G12" s="62" t="n">
        <x:v>0.6757990868</x:v>
      </x:c>
      <x:c r="H12" s="64" t="n">
        <x:v>11.1684</x:v>
      </x:c>
      <x:c r="I12" s="15" t="str">
        <x:v>cluster-dense</x:v>
      </x:c>
      <x:c r="J12" s="15" t="str">
        <x:v>stacked</x:v>
      </x:c>
    </x:row>
    <x:row r="13">
      <x:c r="A13" s="15" t="n">
        <x:v>9</x:v>
      </x:c>
      <x:c r="B13" s="15" t="str">
        <x:v>Vijayapura</x:v>
      </x:c>
      <x:c r="C13" s="15" t="str">
        <x:v>Karnataka</x:v>
      </x:c>
      <x:c r="D13" s="15" t="n">
        <x:v>138</x:v>
      </x:c>
      <x:c r="E13" s="15" t="n">
        <x:v>2</x:v>
      </x:c>
      <x:c r="F13" s="15" t="n">
        <x:v>10</x:v>
      </x:c>
      <x:c r="G13" s="62" t="n">
        <x:v>0.69</x:v>
      </x:c>
      <x:c r="H13" s="64" t="n">
        <x:v>11.1684</x:v>
      </x:c>
      <x:c r="I13" s="15" t="str">
        <x:v>cluster-dense</x:v>
      </x:c>
      <x:c r="J13" s="15" t="str">
        <x:v>stacked</x:v>
      </x:c>
    </x:row>
    <x:row r="14">
      <x:c r="A14" s="15" t="n">
        <x:v>10</x:v>
      </x:c>
      <x:c r="B14" s="15" t="str">
        <x:v>Raichur</x:v>
      </x:c>
      <x:c r="C14" s="15" t="str">
        <x:v>Karnataka</x:v>
      </x:c>
      <x:c r="D14" s="15" t="n">
        <x:v>119</x:v>
      </x:c>
      <x:c r="E14" s="15" t="n">
        <x:v>3</x:v>
      </x:c>
      <x:c r="F14" s="15" t="n">
        <x:v>11</x:v>
      </x:c>
      <x:c r="G14" s="62" t="n">
        <x:v>0.6685393258</x:v>
      </x:c>
      <x:c r="H14" s="64" t="n">
        <x:v>11.1684</x:v>
      </x:c>
      <x:c r="I14" s="15" t="str">
        <x:v>cluster-dense</x:v>
      </x:c>
      <x:c r="J14" s="15" t="str">
        <x:v>stacked</x:v>
      </x:c>
    </x:row>
    <x:row r="15">
      <x:c r="A15" s="15" t="n">
        <x:v>11</x:v>
      </x:c>
      <x:c r="B15" s="15" t="str">
        <x:v>Thane</x:v>
      </x:c>
      <x:c r="C15" s="15" t="str">
        <x:v>Maharashtra</x:v>
      </x:c>
      <x:c r="D15" s="15" t="n">
        <x:v>217</x:v>
      </x:c>
      <x:c r="E15" s="15" t="n">
        <x:v>1</x:v>
      </x:c>
      <x:c r="F15" s="15" t="n">
        <x:v>18</x:v>
      </x:c>
      <x:c r="G15" s="62" t="n">
        <x:v>0.7209302326</x:v>
      </x:c>
      <x:c r="H15" s="64" t="n">
        <x:v>5.6484</x:v>
      </x:c>
      <x:c r="I15" s="15" t="str">
        <x:v>cluster-dense</x:v>
      </x:c>
      <x:c r="J15" s="15" t="str">
        <x:v>stacked</x:v>
      </x:c>
    </x:row>
    <x:row r="16">
      <x:c r="A16" s="15" t="n">
        <x:v>12</x:v>
      </x:c>
      <x:c r="B16" s="15" t="str">
        <x:v>Tumakuru</x:v>
      </x:c>
      <x:c r="C16" s="15" t="str">
        <x:v>Karnataka</x:v>
      </x:c>
      <x:c r="D16" s="15" t="n">
        <x:v>101</x:v>
      </x:c>
      <x:c r="E16" s="15" t="n">
        <x:v>2</x:v>
      </x:c>
      <x:c r="F16" s="15" t="n">
        <x:v>14</x:v>
      </x:c>
      <x:c r="G16" s="62" t="n">
        <x:v>0.6273291925</x:v>
      </x:c>
      <x:c r="H16" s="64" t="n">
        <x:v>11.1684</x:v>
      </x:c>
      <x:c r="I16" s="15" t="str">
        <x:v>cluster-dense</x:v>
      </x:c>
      <x:c r="J16" s="15" t="str">
        <x:v>stacked</x:v>
      </x:c>
    </x:row>
    <x:row r="17">
      <x:c r="A17" s="15" t="n">
        <x:v>13</x:v>
      </x:c>
      <x:c r="B17" s="15" t="str">
        <x:v>Warangal</x:v>
      </x:c>
      <x:c r="C17" s="15" t="str">
        <x:v>Telangana</x:v>
      </x:c>
      <x:c r="D17" s="15" t="n">
        <x:v>94</x:v>
      </x:c>
      <x:c r="E17" s="15" t="n">
        <x:v>2</x:v>
      </x:c>
      <x:c r="F17" s="15" t="n">
        <x:v>7</x:v>
      </x:c>
      <x:c r="G17" s="62" t="n">
        <x:v>0.5193370166</x:v>
      </x:c>
      <x:c r="H17" s="64" t="n">
        <x:v>10.6704</x:v>
      </x:c>
      <x:c r="I17" s="15" t="str">
        <x:v>cluster-dense</x:v>
      </x:c>
      <x:c r="J17" s="15" t="str">
        <x:v>stacked</x:v>
      </x:c>
    </x:row>
    <x:row r="18">
      <x:c r="A18" s="15" t="n">
        <x:v>14</x:v>
      </x:c>
      <x:c r="B18" s="15" t="str">
        <x:v>Bagalkote</x:v>
      </x:c>
      <x:c r="C18" s="15" t="str">
        <x:v>Karnataka</x:v>
      </x:c>
      <x:c r="D18" s="15" t="n">
        <x:v>81</x:v>
      </x:c>
      <x:c r="E18" s="15" t="n">
        <x:v>2</x:v>
      </x:c>
      <x:c r="F18" s="15" t="n">
        <x:v>7</x:v>
      </x:c>
      <x:c r="G18" s="62" t="n">
        <x:v>0.5510204082</x:v>
      </x:c>
      <x:c r="H18" s="64" t="n">
        <x:v>11.1684</x:v>
      </x:c>
      <x:c r="I18" s="15" t="str">
        <x:v>cluster-dense</x:v>
      </x:c>
      <x:c r="J18" s="15" t="str">
        <x:v>stacked</x:v>
      </x:c>
    </x:row>
    <x:row r="19">
      <x:c r="A19" s="15" t="n">
        <x:v>15</x:v>
      </x:c>
      <x:c r="B19" s="15" t="str">
        <x:v>Bhopal</x:v>
      </x:c>
      <x:c r="C19" s="15" t="str">
        <x:v>Madhya Pradesh</x:v>
      </x:c>
      <x:c r="D19" s="15" t="n">
        <x:v>297</x:v>
      </x:c>
      <x:c r="E19" s="15" t="n">
        <x:v>28</x:v>
      </x:c>
      <x:c r="F19" s="15" t="n">
        <x:v>5</x:v>
      </x:c>
      <x:c r="G19" s="62" t="n">
        <x:v>0.6971830986</x:v>
      </x:c>
      <x:c r="H19" s="64" t="n">
        <x:v>3.021</x:v>
      </x:c>
      <x:c r="I19" s="15" t="str">
        <x:v>cluster-dense</x:v>
      </x:c>
      <x:c r="J19" s="15" t="str">
        <x:v>stacked</x:v>
      </x:c>
    </x:row>
    <x:row r="20">
      <x:c r="A20" s="15" t="n">
        <x:v>16</x:v>
      </x:c>
      <x:c r="B20" s="15" t="str">
        <x:v>Davanagere</x:v>
      </x:c>
      <x:c r="C20" s="15" t="str">
        <x:v>Karnataka</x:v>
      </x:c>
      <x:c r="D20" s="15" t="n">
        <x:v>78</x:v>
      </x:c>
      <x:c r="E20" s="15" t="n">
        <x:v>2</x:v>
      </x:c>
      <x:c r="F20" s="15" t="n">
        <x:v>9</x:v>
      </x:c>
      <x:c r="G20" s="62" t="n">
        <x:v>0.7647058824</x:v>
      </x:c>
      <x:c r="H20" s="64" t="n">
        <x:v>11.1684</x:v>
      </x:c>
      <x:c r="I20" s="15" t="str">
        <x:v>cluster-dense</x:v>
      </x:c>
      <x:c r="J20" s="15" t="str">
        <x:v>stacked</x:v>
      </x:c>
    </x:row>
    <x:row r="21">
      <x:c r="A21" s="15" t="n">
        <x:v>17</x:v>
      </x:c>
      <x:c r="B21" s="15" t="str">
        <x:v>Ballari</x:v>
      </x:c>
      <x:c r="C21" s="15" t="str">
        <x:v>Karnataka</x:v>
      </x:c>
      <x:c r="D21" s="15" t="n">
        <x:v>71</x:v>
      </x:c>
      <x:c r="E21" s="15" t="n">
        <x:v>2</x:v>
      </x:c>
      <x:c r="F21" s="15" t="n">
        <x:v>5</x:v>
      </x:c>
      <x:c r="G21" s="62" t="n">
        <x:v>0.6635514019</x:v>
      </x:c>
      <x:c r="H21" s="64" t="n">
        <x:v>11.1684</x:v>
      </x:c>
      <x:c r="I21" s="15" t="str">
        <x:v>cluster-dense</x:v>
      </x:c>
      <x:c r="J21" s="15" t="str">
        <x:v>stacked</x:v>
      </x:c>
    </x:row>
    <x:row r="22">
      <x:c r="A22" s="15" t="n">
        <x:v>18</x:v>
      </x:c>
      <x:c r="B22" s="15" t="str">
        <x:v>Gadag</x:v>
      </x:c>
      <x:c r="C22" s="15" t="str">
        <x:v>Karnataka</x:v>
      </x:c>
      <x:c r="D22" s="15" t="n">
        <x:v>69</x:v>
      </x:c>
      <x:c r="E22" s="15" t="n">
        <x:v>1</x:v>
      </x:c>
      <x:c r="F22" s="15" t="n">
        <x:v>9</x:v>
      </x:c>
      <x:c r="G22" s="62" t="n">
        <x:v>0.7340425532</x:v>
      </x:c>
      <x:c r="H22" s="64" t="n">
        <x:v>11.1684</x:v>
      </x:c>
      <x:c r="I22" s="15" t="str">
        <x:v>cluster-dense</x:v>
      </x:c>
      <x:c r="J22" s="15" t="str">
        <x:v>stacked</x:v>
      </x:c>
    </x:row>
    <x:row r="23">
      <x:c r="A23" s="15" t="n">
        <x:v>19</x:v>
      </x:c>
      <x:c r="B23" s="15" t="str">
        <x:v>Medchal Malkajgiri</x:v>
      </x:c>
      <x:c r="C23" s="15" t="str">
        <x:v>Telangana</x:v>
      </x:c>
      <x:c r="D23" s="15" t="n">
        <x:v>71</x:v>
      </x:c>
      <x:c r="E23" s="15" t="n">
        <x:v>9</x:v>
      </x:c>
      <x:c r="F23" s="15" t="n">
        <x:v>3</x:v>
      </x:c>
      <x:c r="G23" s="62" t="n">
        <x:v>0.6068376068</x:v>
      </x:c>
      <x:c r="H23" s="64" t="n">
        <x:v>10.6704</x:v>
      </x:c>
      <x:c r="I23" s="15" t="str">
        <x:v>cluster-dense</x:v>
      </x:c>
      <x:c r="J23" s="15" t="str">
        <x:v>stacked</x:v>
      </x:c>
    </x:row>
    <x:row r="24">
      <x:c r="A24" s="15" t="n">
        <x:v>20</x:v>
      </x:c>
      <x:c r="B24" s="15" t="str">
        <x:v>Shivamogga</x:v>
      </x:c>
      <x:c r="C24" s="15" t="str">
        <x:v>Karnataka</x:v>
      </x:c>
      <x:c r="D24" s="15" t="n">
        <x:v>66</x:v>
      </x:c>
      <x:c r="E24" s="15" t="n">
        <x:v>2</x:v>
      </x:c>
      <x:c r="F24" s="15" t="n">
        <x:v>8</x:v>
      </x:c>
      <x:c r="G24" s="62" t="n">
        <x:v>0.6875</x:v>
      </x:c>
      <x:c r="H24" s="64" t="n">
        <x:v>11.1684</x:v>
      </x:c>
      <x:c r="I24" s="15" t="str">
        <x:v>cluster-dense</x:v>
      </x:c>
      <x:c r="J24" s="15" t="str">
        <x:v>stacked</x:v>
      </x:c>
    </x:row>
    <x:row r="25">
      <x:c r="A25" s="15" t="n">
        <x:v>21</x:v>
      </x:c>
      <x:c r="B25" s="15" t="str">
        <x:v>Rajkot</x:v>
      </x:c>
      <x:c r="C25" s="15" t="str">
        <x:v>Gujarat</x:v>
      </x:c>
      <x:c r="D25" s="15" t="n">
        <x:v>99</x:v>
      </x:c>
      <x:c r="E25" s="15" t="n">
        <x:v>6</x:v>
      </x:c>
      <x:c r="F25" s="15" t="n">
        <x:v>0</x:v>
      </x:c>
      <x:c r="G25" s="62" t="n">
        <x:v>0.5129533679</x:v>
      </x:c>
      <x:c r="H25" s="64" t="n">
        <x:v>7.29</x:v>
      </x:c>
      <x:c r="I25" s="15" t="str">
        <x:v>cluster-dense</x:v>
      </x:c>
      <x:c r="J25" s="15" t="str">
        <x:v>stacked</x:v>
      </x:c>
    </x:row>
    <x:row r="26">
      <x:c r="A26" s="15" t="n">
        <x:v>22</x:v>
      </x:c>
      <x:c r="B26" s="15" t="str">
        <x:v>Yadgir</x:v>
      </x:c>
      <x:c r="C26" s="15" t="str">
        <x:v>Karnataka</x:v>
      </x:c>
      <x:c r="D26" s="15" t="n">
        <x:v>64</x:v>
      </x:c>
      <x:c r="E26" s="15" t="n">
        <x:v>0</x:v>
      </x:c>
      <x:c r="F26" s="15" t="n">
        <x:v>4</x:v>
      </x:c>
      <x:c r="G26" s="62" t="n">
        <x:v>0.5925925926</x:v>
      </x:c>
      <x:c r="H26" s="64" t="n">
        <x:v>11.1684</x:v>
      </x:c>
      <x:c r="I26" s="15" t="str">
        <x:v>cluster-dense</x:v>
      </x:c>
      <x:c r="J26" s="15" t="str">
        <x:v>stacked</x:v>
      </x:c>
    </x:row>
    <x:row r="27">
      <x:c r="A27" s="15" t="n">
        <x:v>23</x:v>
      </x:c>
      <x:c r="B27" s="15" t="str">
        <x:v>Hassan</x:v>
      </x:c>
      <x:c r="C27" s="15" t="str">
        <x:v>Karnataka</x:v>
      </x:c>
      <x:c r="D27" s="15" t="n">
        <x:v>61</x:v>
      </x:c>
      <x:c r="E27" s="15" t="n">
        <x:v>1</x:v>
      </x:c>
      <x:c r="F27" s="15" t="n">
        <x:v>5</x:v>
      </x:c>
      <x:c r="G27" s="62" t="n">
        <x:v>0.6288659794</x:v>
      </x:c>
      <x:c r="H27" s="64" t="n">
        <x:v>11.1684</x:v>
      </x:c>
      <x:c r="I27" s="15" t="str">
        <x:v>cluster-dense</x:v>
      </x:c>
      <x:c r="J27" s="15" t="str">
        <x:v>stacked</x:v>
      </x:c>
    </x:row>
    <x:row r="28">
      <x:c r="A28" s="15" t="n">
        <x:v>24</x:v>
      </x:c>
      <x:c r="B28" s="15" t="str">
        <x:v>Chitradurga</x:v>
      </x:c>
      <x:c r="C28" s="15" t="str">
        <x:v>Karnataka</x:v>
      </x:c>
      <x:c r="D28" s="15" t="n">
        <x:v>61</x:v>
      </x:c>
      <x:c r="E28" s="15" t="n">
        <x:v>0</x:v>
      </x:c>
      <x:c r="F28" s="15" t="n">
        <x:v>5</x:v>
      </x:c>
      <x:c r="G28" s="62" t="n">
        <x:v>0.6161616162</x:v>
      </x:c>
      <x:c r="H28" s="64" t="n">
        <x:v>11.1684</x:v>
      </x:c>
      <x:c r="I28" s="15" t="str">
        <x:v>cluster-dense</x:v>
      </x:c>
      <x:c r="J28" s="15" t="str">
        <x:v>stacked</x:v>
      </x:c>
    </x:row>
    <x:row r="29">
      <x:c r="A29" s="15" t="n">
        <x:v>25</x:v>
      </x:c>
      <x:c r="B29" s="15" t="str">
        <x:v>Lucknow</x:v>
      </x:c>
      <x:c r="C29" s="15" t="str">
        <x:v>Uttar Pradesh</x:v>
      </x:c>
      <x:c r="D29" s="15" t="n">
        <x:v>213</x:v>
      </x:c>
      <x:c r="E29" s="15" t="n">
        <x:v>20</x:v>
      </x:c>
      <x:c r="F29" s="15" t="n">
        <x:v>42</x:v>
      </x:c>
      <x:c r="G29" s="62" t="n">
        <x:v>0.6120689655</x:v>
      </x:c>
      <x:c r="H29" s="64" t="n">
        <x:v>3.009</x:v>
      </x:c>
      <x:c r="I29" s="15" t="str">
        <x:v>cluster-dense</x:v>
      </x:c>
      <x:c r="J29" s="15" t="str">
        <x:v>stacked</x:v>
      </x:c>
    </x:row>
    <x:row r="32" ht="22" customHeight="1">
      <x:c r="A32" s="20" t="str">
        <x:v>Screen totals</x:v>
      </x:c>
      <x:c r="B32" s="20" t="str">
        <x:v>Screen totals</x:v>
      </x:c>
      <x:c r="C32" s="20" t="str">
        <x:v>Screen totals</x:v>
      </x:c>
      <x:c r="D32" s="20" t="str">
        <x:v>Screen totals</x:v>
      </x:c>
      <x:c r="E32" s="20" t="str">
        <x:v>Screen totals</x:v>
      </x:c>
      <x:c r="F32" s="20" t="str">
        <x:v>Screen totals</x:v>
      </x:c>
      <x:c r="G32" s="20" t="str">
        <x:v>Screen totals</x:v>
      </x:c>
      <x:c r="H32" s="20" t="str">
        <x:v>Screen totals</x:v>
      </x:c>
      <x:c r="I32" s="20" t="str">
        <x:v>Screen totals</x:v>
      </x:c>
      <x:c r="J32" s="20" t="str">
        <x:v>Screen totals</x:v>
      </x:c>
    </x:row>
    <x:row r="33">
      <x:c r="A33" s="12" t="str">
        <x:v>Metric</x:v>
      </x:c>
      <x:c r="B33" s="12" t="str">
        <x:v>Value</x:v>
      </x:c>
      <x:c r="C33" s="12" t="str">
        <x:v>Unit</x:v>
      </x:c>
      <x:c r="D33" s="12" t="str">
        <x:v>Boundary</x:v>
      </x:c>
    </x:row>
    <x:row r="34">
      <x:c r="A34" s="15" t="str">
        <x:v>Institutions</x:v>
      </x:c>
      <x:c r="B34" s="76" t="n">
        <x:v>72352</x:v>
      </x:c>
      <x:c r="C34" s="15" t="str">
        <x:v>count</x:v>
      </x:c>
      <x:c r="D34" s="15" t="str">
        <x:v>Public-safe aggregate</x:v>
      </x:c>
    </x:row>
    <x:row r="35">
      <x:c r="A35" s="15" t="str">
        <x:v>Districts</x:v>
      </x:c>
      <x:c r="B35" s="76" t="n">
        <x:v>760</x:v>
      </x:c>
      <x:c r="C35" s="15" t="str">
        <x:v>count</x:v>
      </x:c>
      <x:c r="D35" s="15" t="str">
        <x:v>Register coverage</x:v>
      </x:c>
    </x:row>
    <x:row r="36">
      <x:c r="A36" s="15" t="str">
        <x:v>Candidate districts</x:v>
      </x:c>
      <x:c r="B36" s="76" t="n">
        <x:v>111</x:v>
      </x:c>
      <x:c r="C36" s="15" t="str">
        <x:v>count</x:v>
      </x:c>
      <x:c r="D36" s="15" t="str">
        <x:v>Non-metro, ≥6 urban colleges, majority urban</x:v>
      </x:c>
    </x:row>
    <x:row r="37">
      <x:c r="A37" s="15" t="str">
        <x:v>Uncontested demand filter</x:v>
      </x:c>
      <x:c r="B37" s="76" t="n">
        <x:v>513</x:v>
      </x:c>
      <x:c r="C37" s="15" t="str">
        <x:v>orders/day</x:v>
      </x:c>
      <x:c r="D37" s="15" t="str">
        <x:v>Required after incumbent subtraction</x:v>
      </x:c>
    </x:row>
  </x:sheetData>
  <x:mergeCells>
    <x:mergeCell ref="A1:J1"/>
    <x:mergeCell ref="A2:J2"/>
    <x:mergeCell ref="A32:J32"/>
  </x:mergeCells>
  <x:pageMargins left="0.7" right="0.7" top="0.75" bottom="0.75" header="0.3" footer="0.3"/>
  <x:tableParts count="1">
    <x:tablePart xmlns:r="http://schemas.openxmlformats.org/officeDocument/2006/relationships" r:id="R5de707f8cace45c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34" hidden="0" customWidth="1"/>
    <x:col min="6" max="6" width="34" hidden="0" customWidth="1"/>
  </x:cols>
  <x:sheetData>
    <x:row r="1" ht="30" customHeight="1">
      <x:c r="A1" s="3" t="str">
        <x:v>Verification manifest</x:v>
      </x:c>
      <x:c r="B1" s="3" t="str">
        <x:v>Verification manifest</x:v>
      </x:c>
      <x:c r="C1" s="3" t="str">
        <x:v>Verification manifest</x:v>
      </x:c>
      <x:c r="D1" s="3" t="str">
        <x:v>Verification manifest</x:v>
      </x:c>
      <x:c r="E1" s="3" t="str">
        <x:v>Verification manifest</x:v>
      </x:c>
      <x:c r="F1" s="3" t="str">
        <x:v>Verification manifest</x:v>
      </x:c>
    </x:row>
    <x:row r="2" ht="34" customHeight="1">
      <x:c r="A2" s="7" t="str">
        <x:v>The command shown here is the command shown in the deck and README. Counts are computed in code; stale 311/80/183 claims are not valid release evidence.</x:v>
      </x:c>
      <x:c r="B2" s="7" t="str">
        <x:v>The command shown here is the command shown in the deck and README. Counts are computed in code; stale 311/80/183 claims are not valid release evidence.</x:v>
      </x:c>
      <x:c r="C2" s="7" t="str">
        <x:v>The command shown here is the command shown in the deck and README. Counts are computed in code; stale 311/80/183 claims are not valid release evidence.</x:v>
      </x:c>
      <x:c r="D2" s="7" t="str">
        <x:v>The command shown here is the command shown in the deck and README. Counts are computed in code; stale 311/80/183 claims are not valid release evidence.</x:v>
      </x:c>
      <x:c r="E2" s="7" t="str">
        <x:v>The command shown here is the command shown in the deck and README. Counts are computed in code; stale 311/80/183 claims are not valid release evidence.</x:v>
      </x:c>
      <x:c r="F2" s="7" t="str">
        <x:v>The command shown here is the command shown in the deck and README. Counts are computed in code; stale 311/80/183 claims are not valid release evidence.</x:v>
      </x:c>
    </x:row>
    <x:row r="4">
      <x:c r="A4" s="12" t="str">
        <x:v>Layer</x:v>
      </x:c>
      <x:c r="B4" s="12" t="str">
        <x:v>Passed</x:v>
      </x:c>
      <x:c r="C4" s="12" t="str">
        <x:v>Defined</x:v>
      </x:c>
      <x:c r="D4" s="12" t="str">
        <x:v>Status</x:v>
      </x:c>
      <x:c r="E4" s="12" t="str">
        <x:v>Entrypoint</x:v>
      </x:c>
      <x:c r="F4" s="12" t="str">
        <x:v>Evidence</x:v>
      </x:c>
    </x:row>
    <x:row r="5">
      <x:c r="A5" s="15" t="str">
        <x:v>Model</x:v>
      </x:c>
      <x:c r="B5" s="15" t="n">
        <x:v>344</x:v>
      </x:c>
      <x:c r="C5" s="15" t="n">
        <x:v>344</x:v>
      </x:c>
      <x:c r="D5" s="79" t="str">
        <x:f>IF(B5=C5,"PASS","FAIL")</x:f>
        <x:v>PASS</x:v>
      </x:c>
      <x:c r="E5" s="15" t="str">
        <x:v>Model/audit.py</x:v>
      </x:c>
      <x:c r="F5" s="15" t="str">
        <x:v>Cross-module reconciliation</x:v>
      </x:c>
    </x:row>
    <x:row r="6">
      <x:c r="A6" s="15" t="str">
        <x:v>Documents</x:v>
      </x:c>
      <x:c r="B6" s="15" t="n">
        <x:v>31</x:v>
      </x:c>
      <x:c r="C6" s="15" t="n">
        <x:v>31</x:v>
      </x:c>
      <x:c r="D6" s="79" t="str">
        <x:f>IF(B6=C6,"PASS","FAIL")</x:f>
        <x:v>PASS</x:v>
      </x:c>
      <x:c r="E6" s="15" t="str">
        <x:v>Model/verify_docs.py</x:v>
      </x:c>
      <x:c r="F6" s="15" t="str">
        <x:v>HANDOFF ties</x:v>
      </x:c>
    </x:row>
    <x:row r="7">
      <x:c r="A7" s="15" t="str">
        <x:v>Specification</x:v>
      </x:c>
      <x:c r="B7" s="15" t="n">
        <x:v>79</x:v>
      </x:c>
      <x:c r="C7" s="15" t="n">
        <x:v>79</x:v>
      </x:c>
      <x:c r="D7" s="79" t="str">
        <x:f>IF(B7=C7,"PASS","FAIL")</x:f>
        <x:v>PASS</x:v>
      </x:c>
      <x:c r="E7" s="15" t="str">
        <x:v>Model/verify_spec.py</x:v>
      </x:c>
      <x:c r="F7" s="15" t="str">
        <x:v>Spec and build prompt</x:v>
      </x:c>
    </x:row>
    <x:row r="8">
      <x:c r="A8" s="15" t="str">
        <x:v>Final deck</x:v>
      </x:c>
      <x:c r="B8" s="15" t="n">
        <x:v>133</x:v>
      </x:c>
      <x:c r="C8" s="15" t="n">
        <x:v>133</x:v>
      </x:c>
      <x:c r="D8" s="79" t="str">
        <x:f>IF(B8=C8,"PASS","FAIL")</x:f>
        <x:v>PASS</x:v>
      </x:c>
      <x:c r="E8" s="15" t="str">
        <x:v>Model/verify_deck.py</x:v>
      </x:c>
      <x:c r="F8" s="15" t="str">
        <x:v>Exact final PPTX</x:v>
      </x:c>
    </x:row>
    <x:row r="11" ht="22" customHeight="1">
      <x:c r="A11" s="20" t="str">
        <x:v>One supported command</x:v>
      </x:c>
      <x:c r="B11" s="20" t="str">
        <x:v>One supported command</x:v>
      </x:c>
      <x:c r="C11" s="20" t="str">
        <x:v>One supported command</x:v>
      </x:c>
      <x:c r="D11" s="20" t="str">
        <x:v>One supported command</x:v>
      </x:c>
      <x:c r="E11" s="20" t="str">
        <x:v>One supported command</x:v>
      </x:c>
      <x:c r="F11" s="20" t="str">
        <x:v>One supported command</x:v>
      </x:c>
    </x:row>
    <x:row r="12">
      <x:c r="A12" s="94" t="str">
        <x:v>python3 Model/run_all.py</x:v>
      </x:c>
      <x:c r="B12" s="95" t="str">
        <x:v>python3 Model/run_all.py</x:v>
      </x:c>
      <x:c r="C12" s="95" t="str">
        <x:v>python3 Model/run_all.py</x:v>
      </x:c>
      <x:c r="D12" s="95" t="str">
        <x:v>python3 Model/run_all.py</x:v>
      </x:c>
      <x:c r="E12" s="95" t="str">
        <x:v>python3 Model/run_all.py</x:v>
      </x:c>
      <x:c r="F12" s="96" t="str">
        <x:v>python3 Model/run_all.py</x:v>
      </x:c>
    </x:row>
    <x:row r="13">
      <x:c r="A13" s="97" t="str">
        <x:v>python3 Model/run_all.py</x:v>
      </x:c>
      <x:c r="B13" s="98" t="str">
        <x:v>python3 Model/run_all.py</x:v>
      </x:c>
      <x:c r="C13" s="98" t="str">
        <x:v>python3 Model/run_all.py</x:v>
      </x:c>
      <x:c r="D13" s="98" t="str">
        <x:v>python3 Model/run_all.py</x:v>
      </x:c>
      <x:c r="E13" s="98" t="str">
        <x:v>python3 Model/run_all.py</x:v>
      </x:c>
      <x:c r="F13" s="99" t="str">
        <x:v>python3 Model/run_all.py</x:v>
      </x:c>
    </x:row>
    <x:row r="15">
      <x:c r="A15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B15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C15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D15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E15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F15" s="44" t="str">
        <x:v>Release boundary: Model/data contains permitted aggregate and derived inputs. Research Pulls/ and papers/ remain excluded from the public repository. The exact final deck is Flipkart_Minutes_WiRED_SemiFinal_FULL_light.pptx.</x:v>
      </x:c>
    </x:row>
    <x:row r="16">
      <x:c r="A16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B16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C16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D16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E16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F16" s="44" t="str">
        <x:v>Release boundary: Model/data contains permitted aggregate and derived inputs. Research Pulls/ and papers/ remain excluded from the public repository. The exact final deck is Flipkart_Minutes_WiRED_SemiFinal_FULL_light.pptx.</x:v>
      </x:c>
    </x:row>
    <x:row r="17">
      <x:c r="A17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B17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C17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D17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E17" s="44" t="str">
        <x:v>Release boundary: Model/data contains permitted aggregate and derived inputs. Research Pulls/ and papers/ remain excluded from the public repository. The exact final deck is Flipkart_Minutes_WiRED_SemiFinal_FULL_light.pptx.</x:v>
      </x:c>
      <x:c r="F17" s="44" t="str">
        <x:v>Release boundary: Model/data contains permitted aggregate and derived inputs. Research Pulls/ and papers/ remain excluded from the public repository. The exact final deck is Flipkart_Minutes_WiRED_SemiFinal_FULL_light.pptx.</x:v>
      </x:c>
    </x:row>
  </x:sheetData>
  <x:mergeCells>
    <x:mergeCell ref="A1:F1"/>
    <x:mergeCell ref="A2:F2"/>
    <x:mergeCell ref="A11:F11"/>
    <x:mergeCell ref="A12:F13"/>
    <x:mergeCell ref="A15:F17"/>
  </x:mergeCells>
  <x:pageMargins left="0.7" right="0.7" top="0.75" bottom="0.75" header="0.3" footer="0.3"/>
</x:worksheet>
</file>