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Read Me" sheetId="1" state="visible" r:id="rId1"/>
    <sheet xmlns:r="http://schemas.openxmlformats.org/officeDocument/2006/relationships" name="1 Inputs" sheetId="2" state="visible" r:id="rId2"/>
    <sheet xmlns:r="http://schemas.openxmlformats.org/officeDocument/2006/relationships" name="2 Fulfilment" sheetId="3" state="visible" r:id="rId3"/>
    <sheet xmlns:r="http://schemas.openxmlformats.org/officeDocument/2006/relationships" name="3 Unit Economics" sheetId="4" state="visible" r:id="rId4"/>
    <sheet xmlns:r="http://schemas.openxmlformats.org/officeDocument/2006/relationships" name="4 Returns" sheetId="5" state="visible" r:id="rId5"/>
    <sheet xmlns:r="http://schemas.openxmlformats.org/officeDocument/2006/relationships" name="5 Dead Zone" sheetId="6" state="visible" r:id="rId6"/>
    <sheet xmlns:r="http://schemas.openxmlformats.org/officeDocument/2006/relationships" name="6 Risks" sheetId="7" state="visible" r:id="rId7"/>
    <sheet xmlns:r="http://schemas.openxmlformats.org/officeDocument/2006/relationships" name="7 District Screen" sheetId="8" state="visible" r:id="rId8"/>
    <sheet xmlns:r="http://schemas.openxmlformats.org/officeDocument/2006/relationships" name="8 Verification" sheetId="9" state="visible" r:id="rId9"/>
    <sheet xmlns:r="http://schemas.openxmlformats.org/officeDocument/2006/relationships" name="9 PG Adjacenc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Calibri"/>
      <b val="1"/>
      <color rgb="FF0B1F3A"/>
      <sz val="14"/>
    </font>
    <font>
      <name val="Calibri"/>
      <i val="1"/>
      <color rgb="FF5A6785"/>
      <sz val="9"/>
    </font>
    <font>
      <name val="Calibri"/>
      <b val="1"/>
      <color rgb="FF0B1F3A"/>
      <sz val="10"/>
    </font>
    <font>
      <name val="Calibri"/>
      <b val="1"/>
      <color rgb="FFFFFFFF"/>
      <sz val="10"/>
    </font>
    <font>
      <name val="Calibri"/>
      <color rgb="FF0B1F3A"/>
      <sz val="10"/>
    </font>
  </fonts>
  <fills count="7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F5F8FD"/>
      </patternFill>
    </fill>
    <fill>
      <patternFill patternType="solid">
        <fgColor rgb="FFDCE7F7"/>
      </patternFill>
    </fill>
    <fill>
      <patternFill patternType="solid">
        <fgColor rgb="FFFFC220"/>
      </patternFill>
    </fill>
    <fill>
      <patternFill patternType="solid">
        <fgColor rgb="FFE3F1E6"/>
      </patternFill>
    </fill>
  </fills>
  <borders count="2">
    <border>
      <left/>
      <right/>
      <top/>
      <bottom/>
      <diagonal/>
    </border>
    <border>
      <bottom style="thin">
        <color rgb="FFDFE6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3" fillId="0" borderId="1" pivotButton="0" quotePrefix="0" xfId="0"/>
    <xf numFmtId="0" fontId="5" fillId="0" borderId="1" pivotButton="0" quotePrefix="0" xfId="0"/>
    <xf numFmtId="0" fontId="3" fillId="5" borderId="1" pivotButton="0" quotePrefix="0" xfId="0"/>
    <xf numFmtId="165" fontId="5" fillId="6" borderId="1" pivotButton="0" quotePrefix="0" xfId="0"/>
    <xf numFmtId="2" fontId="5" fillId="6" borderId="1" pivotButton="0" quotePrefix="0" xfId="0"/>
    <xf numFmtId="3" fontId="5" fillId="6" borderId="1" pivotButton="0" quotePrefix="0" xfId="0"/>
    <xf numFmtId="164" fontId="5" fillId="6" borderId="1" pivotButton="0" quotePrefix="0" xfId="0"/>
    <xf numFmtId="9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2" customWidth="1" min="4" max="4"/>
    <col width="30" customWidth="1" min="5" max="5"/>
    <col width="56" customWidth="1" min="6" max="6"/>
  </cols>
  <sheetData>
    <row r="1" ht="22" customHeight="1">
      <c r="A1" s="1" t="inlineStr">
        <is>
          <t>Flipkart WiRED X — Campus Node Model</t>
        </is>
      </c>
    </row>
    <row r="2" ht="26" customHeight="1">
      <c r="A2" s="2" t="inlineStr">
        <is>
          <t>Generated from the model by Model/make_workbook.py. Team ANAVRIN. Blue rows are sourced inputs; green rows are live formulas that recompute from the Inputs sheet. Nothing in this workbook is typed by hand, including the verification counts below.</t>
        </is>
      </c>
    </row>
    <row r="4">
      <c r="A4" s="3" t="inlineStr">
        <is>
          <t>RELEASE CHECKS</t>
        </is>
      </c>
    </row>
    <row r="5" ht="18" customHeight="1">
      <c r="A5" s="4" t="inlineStr">
        <is>
          <t>Layer</t>
        </is>
      </c>
      <c r="B5" s="4" t="inlineStr">
        <is>
          <t>Passed</t>
        </is>
      </c>
      <c r="C5" s="4" t="inlineStr">
        <is>
          <t>Defined</t>
        </is>
      </c>
      <c r="D5" s="4" t="inlineStr">
        <is>
          <t>Status</t>
        </is>
      </c>
      <c r="E5" s="4" t="inlineStr">
        <is>
          <t>Command</t>
        </is>
      </c>
      <c r="F5" s="4" t="inlineStr">
        <is>
          <t>Scope</t>
        </is>
      </c>
    </row>
    <row r="6">
      <c r="A6" s="5" t="inlineStr">
        <is>
          <t>audit</t>
        </is>
      </c>
      <c r="B6" s="5" t="n">
        <v>378</v>
      </c>
      <c r="C6" s="5" t="n">
        <v>378</v>
      </c>
      <c r="D6" s="5">
        <f>IF(B6=C6,"PASS","FAIL")</f>
        <v/>
      </c>
      <c r="E6" s="5" t="inlineStr">
        <is>
          <t>python3 Model/audit.py</t>
        </is>
      </c>
      <c r="F6" s="5" t="inlineStr">
        <is>
          <t>model against itself, incl. cross-module reconciliation</t>
        </is>
      </c>
    </row>
    <row r="7">
      <c r="A7" s="5" t="inlineStr">
        <is>
          <t>docs</t>
        </is>
      </c>
      <c r="B7" s="5" t="n">
        <v>31</v>
      </c>
      <c r="C7" s="5" t="n">
        <v>31</v>
      </c>
      <c r="D7" s="5">
        <f>IF(B7=C7,"PASS","FAIL")</f>
        <v/>
      </c>
      <c r="E7" s="5" t="inlineStr">
        <is>
          <t>python3 Model/verify_docs.py</t>
        </is>
      </c>
      <c r="F7" s="5" t="inlineStr">
        <is>
          <t>HANDOFF figures against the model</t>
        </is>
      </c>
    </row>
    <row r="8">
      <c r="A8" s="5" t="inlineStr">
        <is>
          <t>spec</t>
        </is>
      </c>
      <c r="B8" s="5" t="n">
        <v>79</v>
      </c>
      <c r="C8" s="5" t="n">
        <v>79</v>
      </c>
      <c r="D8" s="5">
        <f>IF(B8=C8,"PASS","FAIL")</f>
        <v/>
      </c>
      <c r="E8" s="5" t="inlineStr">
        <is>
          <t>python3 Model/verify_spec.py</t>
        </is>
      </c>
      <c r="F8" s="5" t="inlineStr">
        <is>
          <t>deck spec and build prompt against the model</t>
        </is>
      </c>
    </row>
    <row r="9">
      <c r="A9" s="5" t="inlineStr">
        <is>
          <t>deck</t>
        </is>
      </c>
      <c r="B9" s="5" t="n">
        <v>184</v>
      </c>
      <c r="C9" s="5" t="n">
        <v>184</v>
      </c>
      <c r="D9" s="5">
        <f>IF(B9=C9,"PASS","FAIL")</f>
        <v/>
      </c>
      <c r="E9" s="5" t="inlineStr">
        <is>
          <t>python3 Model/verify_deck.py</t>
        </is>
      </c>
      <c r="F9" s="5" t="inlineStr">
        <is>
          <t>the BUILT .pptx, presence and absence</t>
        </is>
      </c>
    </row>
    <row r="10">
      <c r="A10" s="5" t="inlineStr">
        <is>
          <t>artefacts</t>
        </is>
      </c>
      <c r="B10" s="5" t="n">
        <v>28</v>
      </c>
      <c r="C10" s="5" t="n">
        <v>28</v>
      </c>
      <c r="D10" s="5">
        <f>IF(B10=C10,"PASS","FAIL")</f>
        <v/>
      </c>
      <c r="E10" s="5" t="inlineStr">
        <is>
          <t>python3 Model/verify_artifacts.py</t>
        </is>
      </c>
      <c r="F10" s="5" t="inlineStr">
        <is>
          <t>workbook, notebooks, manifest, public data</t>
        </is>
      </c>
    </row>
    <row r="12">
      <c r="A12" s="3" t="inlineStr">
        <is>
          <t>ALL FIVE LAYERS PASSED on the last recorded run.</t>
        </is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7" customWidth="1" min="4" max="4"/>
    <col width="42" customWidth="1" min="5" max="5"/>
  </cols>
  <sheetData>
    <row r="1" ht="22" customHeight="1">
      <c r="A1" s="1" t="inlineStr">
        <is>
          <t>Inputs and policy constants</t>
        </is>
      </c>
    </row>
    <row r="2" ht="26" customHeight="1">
      <c r="A2" s="2" t="inlineStr">
        <is>
          <t>Every contested policy constant lives in Model/params.py and is imported everywhere else. A value redeclared outside params.py fails the audit.</t>
        </is>
      </c>
    </row>
    <row r="4" ht="18" customHeight="1">
      <c r="A4" s="4" t="inlineStr">
        <is>
          <t>Parameter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Tier</t>
        </is>
      </c>
      <c r="E4" s="4" t="inlineStr">
        <is>
          <t>Source / derivation</t>
        </is>
      </c>
    </row>
    <row r="5">
      <c r="A5" s="6" t="inlineStr">
        <is>
          <t>Cluster volume</t>
        </is>
      </c>
      <c r="B5" s="6" t="n">
        <v>1400</v>
      </c>
      <c r="C5" s="6" t="inlineStr">
        <is>
          <t>orders/day</t>
        </is>
      </c>
      <c r="D5" s="6" t="inlineStr">
        <is>
          <t>T1</t>
        </is>
      </c>
      <c r="E5" s="6" t="inlineStr">
        <is>
          <t>JM Ex.29 observed 1,334–1,487 band</t>
        </is>
      </c>
    </row>
    <row r="6">
      <c r="A6" s="6" t="inlineStr">
        <is>
          <t>Campus gates per node</t>
        </is>
      </c>
      <c r="B6" s="6" t="n">
        <v>3</v>
      </c>
      <c r="C6" s="6" t="inlineStr">
        <is>
          <t>gates</t>
        </is>
      </c>
      <c r="D6" s="6" t="inlineStr">
        <is>
          <t>D</t>
        </is>
      </c>
      <c r="E6" s="6" t="inlineStr">
        <is>
          <t>params.CAMPUSES_PER_NODE</t>
        </is>
      </c>
    </row>
    <row r="7">
      <c r="A7" s="6" t="inlineStr">
        <is>
          <t>Active academic months</t>
        </is>
      </c>
      <c r="B7" s="6" t="n">
        <v>8.5</v>
      </c>
      <c r="C7" s="6" t="inlineStr">
        <is>
          <t>months/yr</t>
        </is>
      </c>
      <c r="D7" s="6" t="inlineStr">
        <is>
          <t>T1</t>
        </is>
      </c>
      <c r="E7" s="6" t="inlineStr">
        <is>
          <t>institutional calendars</t>
        </is>
      </c>
    </row>
    <row r="8">
      <c r="A8" s="6" t="inlineStr">
        <is>
          <t>Revenue take rate</t>
        </is>
      </c>
      <c r="B8" s="6" t="n">
        <v>0.1941</v>
      </c>
      <c r="C8" s="6" t="inlineStr">
        <is>
          <t>% of GOV</t>
        </is>
      </c>
      <c r="D8" s="6" t="inlineStr">
        <is>
          <t>T1</t>
        </is>
      </c>
      <c r="E8" s="6" t="inlineStr">
        <is>
          <t>JM Financial, Eternal FY26E</t>
        </is>
      </c>
    </row>
    <row r="9">
      <c r="A9" s="6" t="inlineStr">
        <is>
          <t>Store fixed cost</t>
        </is>
      </c>
      <c r="B9" s="6" t="n">
        <v>902000</v>
      </c>
      <c r="C9" s="6" t="inlineStr">
        <is>
          <t>Rs/month</t>
        </is>
      </c>
      <c r="D9" s="6" t="inlineStr">
        <is>
          <t>T1</t>
        </is>
      </c>
      <c r="E9" s="6" t="inlineStr">
        <is>
          <t>JM Financial Exhibit 13</t>
        </is>
      </c>
    </row>
    <row r="10">
      <c r="A10" s="6" t="inlineStr">
        <is>
          <t>Store ops per order</t>
        </is>
      </c>
      <c r="B10" s="6" t="n">
        <v>39</v>
      </c>
      <c r="C10" s="6" t="inlineStr">
        <is>
          <t>Rs/order</t>
        </is>
      </c>
      <c r="D10" s="6" t="inlineStr">
        <is>
          <t>T2</t>
        </is>
      </c>
      <c r="E10" s="6" t="inlineStr">
        <is>
          <t>pick, pack, warehousing</t>
        </is>
      </c>
    </row>
    <row r="11">
      <c r="A11" s="6" t="inlineStr">
        <is>
          <t>Packaging per order</t>
        </is>
      </c>
      <c r="B11" s="6" t="n">
        <v>12</v>
      </c>
      <c r="C11" s="6" t="inlineStr">
        <is>
          <t>Rs/order</t>
        </is>
      </c>
      <c r="D11" s="6" t="inlineStr">
        <is>
          <t>T2</t>
        </is>
      </c>
      <c r="E11" s="6" t="inlineStr">
        <is>
          <t>packaging + support</t>
        </is>
      </c>
    </row>
    <row r="12">
      <c r="A12" s="6" t="inlineStr">
        <is>
          <t>Unallocated residual</t>
        </is>
      </c>
      <c r="B12" s="6" t="n">
        <v>12.30539999999999</v>
      </c>
      <c r="C12" s="6" t="inlineStr">
        <is>
          <t>Rs/order</t>
        </is>
      </c>
      <c r="D12" s="6" t="inlineStr">
        <is>
          <t>D</t>
        </is>
      </c>
      <c r="E12" s="6" t="inlineStr">
        <is>
          <t>implied variable less itemised</t>
        </is>
      </c>
    </row>
    <row r="13">
      <c r="A13" s="6" t="inlineStr">
        <is>
          <t>City gig leg</t>
        </is>
      </c>
      <c r="B13" s="6" t="n">
        <v>14.24935159248884</v>
      </c>
      <c r="C13" s="6" t="inlineStr">
        <is>
          <t>Rs/order</t>
        </is>
      </c>
      <c r="D13" s="6" t="inlineStr">
        <is>
          <t>D</t>
        </is>
      </c>
      <c r="E13" s="6" t="inlineStr">
        <is>
          <t>sla.py, volume-weighted across demand bands</t>
        </is>
      </c>
    </row>
    <row r="14">
      <c r="A14" s="6" t="inlineStr">
        <is>
          <t>In-gate roster leg</t>
        </is>
      </c>
      <c r="B14" s="6" t="n">
        <v>3.363872899587185</v>
      </c>
      <c r="C14" s="6" t="inlineStr">
        <is>
          <t>Rs/order</t>
        </is>
      </c>
      <c r="D14" s="6" t="inlineStr">
        <is>
          <t>D</t>
        </is>
      </c>
      <c r="E14" s="6" t="inlineStr">
        <is>
          <t>fleet_mix.plan_roster(), fixed roster / volume</t>
        </is>
      </c>
    </row>
    <row r="15">
      <c r="A15" s="6" t="inlineStr">
        <is>
          <t>NWC days</t>
        </is>
      </c>
      <c r="B15" s="6" t="n">
        <v>14</v>
      </c>
      <c r="C15" s="6" t="inlineStr">
        <is>
          <t>days</t>
        </is>
      </c>
      <c r="D15" s="6" t="inlineStr">
        <is>
          <t>T1</t>
        </is>
      </c>
      <c r="E15" s="6" t="inlineStr">
        <is>
          <t>Eternal Q1FY27, on NOV not COGS</t>
        </is>
      </c>
    </row>
    <row r="16">
      <c r="A16" s="6" t="inlineStr">
        <is>
          <t>Capex midpoint</t>
        </is>
      </c>
      <c r="B16" s="6" t="n">
        <v>23500000</v>
      </c>
      <c r="C16" s="6" t="inlineStr">
        <is>
          <t>Rs</t>
        </is>
      </c>
      <c r="D16" s="6" t="inlineStr">
        <is>
          <t>T2</t>
        </is>
      </c>
      <c r="E16" s="6" t="inlineStr">
        <is>
          <t>band midpoint</t>
        </is>
      </c>
    </row>
    <row r="17">
      <c r="A17" s="6" t="inlineStr">
        <is>
          <t>Tax rate</t>
        </is>
      </c>
      <c r="B17" s="6" t="n">
        <v>0.2517</v>
      </c>
      <c r="C17" s="6" t="inlineStr">
        <is>
          <t>%</t>
        </is>
      </c>
      <c r="D17" s="6" t="inlineStr">
        <is>
          <t>T1</t>
        </is>
      </c>
      <c r="E17" s="6" t="inlineStr">
        <is>
          <t>22% + surcharge + cess</t>
        </is>
      </c>
    </row>
    <row r="18">
      <c r="A18" s="6" t="inlineStr">
        <is>
          <t>Node life</t>
        </is>
      </c>
      <c r="B18" s="6" t="n">
        <v>60</v>
      </c>
      <c r="C18" s="6" t="inlineStr">
        <is>
          <t>months</t>
        </is>
      </c>
      <c r="D18" s="6" t="inlineStr">
        <is>
          <t>D</t>
        </is>
      </c>
      <c r="E18" s="6" t="inlineStr">
        <is>
          <t>must outlive its own payback</t>
        </is>
      </c>
    </row>
    <row r="19">
      <c r="A19" s="7" t="inlineStr">
        <is>
          <t>PG demand evidence gate</t>
        </is>
      </c>
      <c r="B19" s="7" t="b">
        <v>0</v>
      </c>
      <c r="C19" s="7" t="inlineStr">
        <is>
          <t>TRUE/FALSE</t>
        </is>
      </c>
      <c r="D19" s="7" t="inlineStr">
        <is>
          <t>P</t>
        </is>
      </c>
      <c r="E19" s="7" t="inlineStr">
        <is>
          <t>opens only after site evidence is approved</t>
        </is>
      </c>
    </row>
    <row r="20">
      <c r="A20" s="7" t="inlineStr">
        <is>
          <t>PG verified occupied student beds</t>
        </is>
      </c>
      <c r="B20" s="7" t="n">
        <v>0</v>
      </c>
      <c r="C20" s="7" t="inlineStr">
        <is>
          <t>beds</t>
        </is>
      </c>
      <c r="D20" s="7" t="inlineStr">
        <is>
          <t>P</t>
        </is>
      </c>
      <c r="E20" s="7" t="inlineStr">
        <is>
          <t>occupied STUDENT beds inside the served radius</t>
        </is>
      </c>
    </row>
    <row r="21">
      <c r="A21" s="7" t="inlineStr">
        <is>
          <t>PG active-user penetration</t>
        </is>
      </c>
      <c r="B21" s="7" t="n">
        <v>0</v>
      </c>
      <c r="C21" s="7" t="inlineStr">
        <is>
          <t>%</t>
        </is>
      </c>
      <c r="D21" s="7" t="inlineStr">
        <is>
          <t>P</t>
        </is>
      </c>
      <c r="E21" s="7" t="inlineStr">
        <is>
          <t>pilot-observed active users / occupied student beds</t>
        </is>
      </c>
    </row>
    <row r="22">
      <c r="A22" s="7" t="inlineStr">
        <is>
          <t>PG gross AOV</t>
        </is>
      </c>
      <c r="B22" s="7" t="n">
        <v>0</v>
      </c>
      <c r="C22" s="7" t="inlineStr">
        <is>
          <t>Rs/order</t>
        </is>
      </c>
      <c r="D22" s="7" t="inlineStr">
        <is>
          <t>P</t>
        </is>
      </c>
      <c r="E22" s="7" t="inlineStr">
        <is>
          <t>pilot-observed; zero means not evidenced</t>
        </is>
      </c>
    </row>
    <row r="23">
      <c r="A23" s="7" t="inlineStr">
        <is>
          <t>PG common-drop share</t>
        </is>
      </c>
      <c r="B23" s="7" t="n">
        <v>0</v>
      </c>
      <c r="C23" s="7" t="inlineStr">
        <is>
          <t>%</t>
        </is>
      </c>
      <c r="D23" s="7" t="inlineStr">
        <is>
          <t>P</t>
        </is>
      </c>
      <c r="E23" s="7" t="inlineStr">
        <is>
          <t>share served at reception, warden desk or locker</t>
        </is>
      </c>
    </row>
    <row r="24">
      <c r="A24" s="7" t="inlineStr">
        <is>
          <t>PG break retention</t>
        </is>
      </c>
      <c r="B24" s="7" t="n">
        <v>0</v>
      </c>
      <c r="C24" s="7" t="inlineStr">
        <is>
          <t>% of term</t>
        </is>
      </c>
      <c r="D24" s="7" t="inlineStr">
        <is>
          <t>P</t>
        </is>
      </c>
      <c r="E24" s="7" t="inlineStr">
        <is>
          <t>PG demand persisting through the academic break</t>
        </is>
      </c>
    </row>
    <row r="25">
      <c r="A25" s="7" t="inlineStr">
        <is>
          <t>Hostel term volume in PG scenario</t>
        </is>
      </c>
      <c r="B25" s="7" t="n">
        <v>1400</v>
      </c>
      <c r="C25" s="7" t="inlineStr">
        <is>
          <t>orders/day</t>
        </is>
      </c>
      <c r="D25" s="7" t="inlineStr">
        <is>
          <t>P</t>
        </is>
      </c>
      <c r="E25" s="7" t="inlineStr">
        <is>
          <t>capacity already consumed by the hostel base</t>
        </is>
      </c>
    </row>
    <row r="26">
      <c r="A26" s="6" t="inlineStr">
        <is>
          <t>PG orders per active user per day</t>
        </is>
      </c>
      <c r="B26" s="6" t="n">
        <v>0.12</v>
      </c>
      <c r="C26" s="6" t="inlineStr">
        <is>
          <t>orders/day</t>
        </is>
      </c>
      <c r="D26" s="6" t="inlineStr">
        <is>
          <t>T1</t>
        </is>
      </c>
      <c r="E26" s="6" t="inlineStr">
        <is>
          <t>Blinkit 3.6/month / 30; no captive-campus uplift</t>
        </is>
      </c>
    </row>
    <row r="27">
      <c r="A27" s="6" t="inlineStr">
        <is>
          <t>PG doorstep last mile</t>
        </is>
      </c>
      <c r="B27" s="6" t="n">
        <v>26.87389770723104</v>
      </c>
      <c r="C27" s="6" t="inlineStr">
        <is>
          <t>Rs/order</t>
        </is>
      </c>
      <c r="D27" s="6" t="inlineStr">
        <is>
          <t>D</t>
        </is>
      </c>
      <c r="E27" s="6" t="inlineStr">
        <is>
          <t>cost_stack Type B urban PG geometry</t>
        </is>
      </c>
    </row>
    <row r="28">
      <c r="A28" s="6" t="inlineStr">
        <is>
          <t>PG common-drop last mile</t>
        </is>
      </c>
      <c r="B28" s="6" t="n">
        <v>23.95282186948853</v>
      </c>
      <c r="C28" s="6" t="inlineStr">
        <is>
          <t>Rs/order</t>
        </is>
      </c>
      <c r="D28" s="6" t="inlineStr">
        <is>
          <t>D</t>
        </is>
      </c>
      <c r="E28" s="6" t="inlineStr">
        <is>
          <t>cost_stack Type B common-drop geometry</t>
        </is>
      </c>
    </row>
    <row r="29">
      <c r="A29" s="6" t="inlineStr">
        <is>
          <t>NOV / GOV</t>
        </is>
      </c>
      <c r="B29" s="6" t="n">
        <v>0.791</v>
      </c>
      <c r="C29" s="6" t="inlineStr">
        <is>
          <t>x</t>
        </is>
      </c>
      <c r="D29" s="6" t="inlineStr">
        <is>
          <t>T1</t>
        </is>
      </c>
      <c r="E29" s="6" t="inlineStr">
        <is>
          <t>Blinkit FY26E</t>
        </is>
      </c>
    </row>
    <row r="30">
      <c r="A30" s="6" t="inlineStr">
        <is>
          <t>Term days</t>
        </is>
      </c>
      <c r="B30" s="6" t="n">
        <v>258.5416666666667</v>
      </c>
      <c r="C30" s="6" t="inlineStr">
        <is>
          <t>days/year</t>
        </is>
      </c>
      <c r="D30" s="6" t="inlineStr">
        <is>
          <t>D</t>
        </is>
      </c>
      <c r="E30" s="6" t="inlineStr">
        <is>
          <t>365 x active academic months / 12</t>
        </is>
      </c>
    </row>
    <row r="31">
      <c r="A31" s="6" t="inlineStr">
        <is>
          <t>Break days</t>
        </is>
      </c>
      <c r="B31" s="6" t="n">
        <v>106.4583333333333</v>
      </c>
      <c r="C31" s="6" t="inlineStr">
        <is>
          <t>days/year</t>
        </is>
      </c>
      <c r="D31" s="6" t="inlineStr">
        <is>
          <t>D</t>
        </is>
      </c>
      <c r="E31" s="6" t="inlineStr">
        <is>
          <t>365 - term days</t>
        </is>
      </c>
    </row>
    <row r="32">
      <c r="A32" s="6" t="inlineStr">
        <is>
          <t>Hostel comparison AOV</t>
        </is>
      </c>
      <c r="B32" s="6" t="n">
        <v>729.383462929356</v>
      </c>
      <c r="C32" s="6" t="inlineStr">
        <is>
          <t>Rs/order</t>
        </is>
      </c>
      <c r="D32" s="6" t="inlineStr">
        <is>
          <t>D</t>
        </is>
      </c>
      <c r="E32" s="6" t="inlineStr">
        <is>
          <t>basket at the 30% non-grocery floor</t>
        </is>
      </c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1" customWidth="1" min="3" max="3"/>
    <col width="12" customWidth="1" min="4" max="4"/>
    <col width="11" customWidth="1" min="5" max="5"/>
    <col width="8" customWidth="1" min="6" max="6"/>
    <col width="14" customWidth="1" min="7" max="7"/>
    <col width="15" customWidth="1" min="8" max="8"/>
    <col width="14" customWidth="1" min="9" max="9"/>
    <col width="10" customWidth="1" min="10" max="10"/>
  </cols>
  <sheetData>
    <row r="1" ht="22" customHeight="1">
      <c r="A1" s="1" t="inlineStr">
        <is>
          <t>Fulfilment — two legs, two cost structures</t>
        </is>
      </c>
    </row>
    <row r="2" ht="26" customHeight="1">
      <c r="A2" s="2" t="inlineStr">
        <is>
          <t>The city leg is gig, bought per trip and divided by batch, so it varies by demand band. The in-gate leg is a fixed roster divided by daily volume, so it is FLAT across bands. That flatness is the argument for rostering.</t>
        </is>
      </c>
    </row>
    <row r="4" ht="18" customHeight="1">
      <c r="A4" s="4" t="inlineStr">
        <is>
          <t>Demand band</t>
        </is>
      </c>
      <c r="B4" s="4" t="inlineStr">
        <is>
          <t>Hours</t>
        </is>
      </c>
      <c r="C4" s="4" t="inlineStr">
        <is>
          <t>Multiplier</t>
        </is>
      </c>
      <c r="D4" s="4" t="inlineStr">
        <is>
          <t>% of orders</t>
        </is>
      </c>
      <c r="E4" s="4" t="inlineStr">
        <is>
          <t>Orders/hr</t>
        </is>
      </c>
      <c r="F4" s="4" t="inlineStr">
        <is>
          <t>Batch</t>
        </is>
      </c>
      <c r="G4" s="4" t="inlineStr">
        <is>
          <t>City Rs/order</t>
        </is>
      </c>
      <c r="H4" s="4" t="inlineStr">
        <is>
          <t>In-gate Rs/order</t>
        </is>
      </c>
      <c r="I4" s="4" t="inlineStr">
        <is>
          <t>Total Rs/order</t>
        </is>
      </c>
      <c r="J4" s="4" t="inlineStr">
        <is>
          <t>SLA min</t>
        </is>
      </c>
    </row>
    <row r="5">
      <c r="A5" s="8" t="inlineStr">
        <is>
          <t>Peak (late evening, exam windows)</t>
        </is>
      </c>
      <c r="B5" s="8" t="n">
        <v>4</v>
      </c>
      <c r="C5" s="8" t="n">
        <v>4</v>
      </c>
      <c r="D5" s="8" t="n">
        <v>0.6274509803921569</v>
      </c>
      <c r="E5" s="8" t="n">
        <v>103.7</v>
      </c>
      <c r="F5" s="8" t="n">
        <v>10</v>
      </c>
      <c r="G5" s="8" t="n">
        <v>5.12</v>
      </c>
      <c r="H5" s="8" t="n">
        <v>3.36</v>
      </c>
      <c r="I5" s="8" t="n">
        <v>8.48</v>
      </c>
      <c r="J5" s="8" t="n">
        <v>27.1</v>
      </c>
    </row>
    <row r="6">
      <c r="A6" s="8" t="inlineStr">
        <is>
          <t>Normal</t>
        </is>
      </c>
      <c r="B6" s="8" t="n">
        <v>8</v>
      </c>
      <c r="C6" s="8" t="n">
        <v>1</v>
      </c>
      <c r="D6" s="8" t="n">
        <v>0.3137254901960784</v>
      </c>
      <c r="E6" s="8" t="n">
        <v>25.9</v>
      </c>
      <c r="F6" s="8" t="n">
        <v>2</v>
      </c>
      <c r="G6" s="8" t="n">
        <v>25.59</v>
      </c>
      <c r="H6" s="8" t="n">
        <v>3.36</v>
      </c>
      <c r="I6" s="8" t="n">
        <v>28.95</v>
      </c>
      <c r="J6" s="8" t="n">
        <v>21.6</v>
      </c>
    </row>
    <row r="7">
      <c r="A7" s="8" t="inlineStr">
        <is>
          <t>Trough (early morning, class hrs)</t>
        </is>
      </c>
      <c r="B7" s="8" t="n">
        <v>6</v>
      </c>
      <c r="C7" s="8" t="n">
        <v>0.25</v>
      </c>
      <c r="D7" s="8" t="n">
        <v>0.05882352941176471</v>
      </c>
      <c r="E7" s="8" t="n">
        <v>6.5</v>
      </c>
      <c r="F7" s="8" t="n">
        <v>1</v>
      </c>
      <c r="G7" s="8" t="n">
        <v>51.18</v>
      </c>
      <c r="H7" s="8" t="n">
        <v>3.36</v>
      </c>
      <c r="I7" s="8" t="n">
        <v>54.54</v>
      </c>
      <c r="J7" s="8" t="n">
        <v>25.7</v>
      </c>
    </row>
    <row r="9">
      <c r="A9" s="9" t="inlineStr">
        <is>
          <t>VOLUME-WEIGHTED LAST MILE</t>
        </is>
      </c>
      <c r="B9" s="9" t="n"/>
      <c r="C9" s="9" t="n"/>
      <c r="D9" s="9" t="n"/>
      <c r="E9" s="9" t="n"/>
      <c r="F9" s="9" t="n"/>
      <c r="G9" s="9">
        <f>SUMPRODUCT(D5:D7,G5:G7)</f>
        <v/>
      </c>
      <c r="H9" s="9">
        <f>H5</f>
        <v/>
      </c>
      <c r="I9" s="9">
        <f>G9+H9</f>
        <v/>
      </c>
    </row>
    <row r="10">
      <c r="A10" s="10" t="inlineStr">
        <is>
          <t>Standard 2–3 km residential zone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>
        <v>42</v>
      </c>
    </row>
    <row r="11">
      <c r="A11" s="9" t="inlineStr">
        <is>
          <t>Saving vs a standard zone</t>
        </is>
      </c>
      <c r="B11" s="9" t="n"/>
      <c r="C11" s="9" t="n"/>
      <c r="D11" s="9" t="n"/>
      <c r="E11" s="9" t="n"/>
      <c r="F11" s="9" t="n"/>
      <c r="G11" s="9" t="n"/>
      <c r="H11" s="9" t="n"/>
      <c r="I11" s="9">
        <f>1-I9/I10</f>
        <v/>
      </c>
    </row>
    <row r="14">
      <c r="A14" s="9" t="inlineStr">
        <is>
          <t>ROSTER — base case is PER GATE</t>
        </is>
      </c>
      <c r="B14" s="9" t="n"/>
      <c r="C14" s="9" t="n"/>
      <c r="D14" s="9" t="n"/>
      <c r="E14" s="9" t="n"/>
    </row>
    <row r="15">
      <c r="A15" s="10" t="inlineStr">
        <is>
          <t>per gate (467/day)</t>
        </is>
      </c>
      <c r="B15" s="10" t="n">
        <v>2</v>
      </c>
      <c r="C15" s="10" t="inlineStr">
        <is>
          <t>runners</t>
        </is>
      </c>
      <c r="D15" s="10" t="inlineStr">
        <is>
          <t>alpha 87%</t>
        </is>
      </c>
      <c r="E15" s="10" t="inlineStr">
        <is>
          <t>Rs3.36/order</t>
        </is>
      </c>
    </row>
    <row r="16">
      <c r="A16" s="10" t="inlineStr">
        <is>
          <t>pooled across 3 gates (UPSIDE, not the plan)</t>
        </is>
      </c>
      <c r="B16" s="10" t="n">
        <v>7</v>
      </c>
      <c r="C16" s="10" t="inlineStr">
        <is>
          <t>runners</t>
        </is>
      </c>
      <c r="D16" s="10" t="inlineStr">
        <is>
          <t>alpha 100%</t>
        </is>
      </c>
      <c r="E16" s="10" t="inlineStr">
        <is>
          <t>Rs2.88/order — Rs0.48 better, conditional on cross-gate movement</t>
        </is>
      </c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46" customWidth="1" min="4" max="4"/>
  </cols>
  <sheetData>
    <row r="1" ht="22" customHeight="1">
      <c r="A1" s="1" t="inlineStr">
        <is>
          <t>Unit economics and the AOV thresholds</t>
        </is>
      </c>
    </row>
    <row r="2" ht="26" customHeight="1">
      <c r="A2" s="2" t="inlineStr">
        <is>
          <t>Two day-count conventions are both in use and both correct. The deck spine carries the fixed base across twelve 30-day months; the returns model uses a 365-day year. The gap is stated rather than smoothed away.</t>
        </is>
      </c>
    </row>
    <row r="4" ht="18" customHeight="1">
      <c r="A4" s="4" t="inlineStr">
        <is>
          <t>Metric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Reading</t>
        </is>
      </c>
    </row>
    <row r="5">
      <c r="A5" s="8" t="inlineStr">
        <is>
          <t>Variable cost per order</t>
        </is>
      </c>
      <c r="B5" s="8" t="n">
        <v>80.92</v>
      </c>
      <c r="C5" s="8" t="inlineStr">
        <is>
          <t>Rs</t>
        </is>
      </c>
      <c r="D5" s="8" t="inlineStr">
        <is>
          <t>last mile + store ops + packaging + residual</t>
        </is>
      </c>
    </row>
    <row r="6">
      <c r="A6" s="8" t="inlineStr">
        <is>
          <t>Active days per year</t>
        </is>
      </c>
      <c r="B6" s="8" t="n">
        <v>258.5</v>
      </c>
      <c r="C6" s="8" t="inlineStr">
        <is>
          <t>days</t>
        </is>
      </c>
      <c r="D6" s="8" t="inlineStr">
        <is>
          <t>365 x 8.5/12</t>
        </is>
      </c>
    </row>
    <row r="7">
      <c r="A7" s="8" t="inlineStr">
        <is>
          <t>Annual orders, term-only</t>
        </is>
      </c>
      <c r="B7" s="8" t="n">
        <v>361958</v>
      </c>
      <c r="C7" s="8" t="inlineStr">
        <is>
          <t>orders</t>
        </is>
      </c>
      <c r="D7" s="8" t="inlineStr">
        <is>
          <t>returns basis</t>
        </is>
      </c>
    </row>
    <row r="8">
      <c r="A8" s="8" t="inlineStr">
        <is>
          <t>Breakeven AOV — 365-day returns basis</t>
        </is>
      </c>
      <c r="B8" s="8" t="n">
        <v>571</v>
      </c>
      <c r="C8" s="8" t="inlineStr">
        <is>
          <t>Rs</t>
        </is>
      </c>
      <c r="D8" s="8" t="inlineStr">
        <is>
          <t>ROCE = 0</t>
        </is>
      </c>
    </row>
    <row r="9">
      <c r="A9" s="8" t="inlineStr">
        <is>
          <t>Breakeven AOV — 30-day deck spine</t>
        </is>
      </c>
      <c r="B9" s="8" t="n">
        <v>573</v>
      </c>
      <c r="C9" s="8" t="inlineStr">
        <is>
          <t>Rs</t>
        </is>
      </c>
      <c r="D9" s="8" t="inlineStr">
        <is>
          <t>the deck headline</t>
        </is>
      </c>
    </row>
    <row r="10">
      <c r="A10" s="8" t="inlineStr">
        <is>
          <t>Day-count gap between the two</t>
        </is>
      </c>
      <c r="B10" s="8" t="n">
        <v>2.14</v>
      </c>
      <c r="C10" s="8" t="inlineStr">
        <is>
          <t>Rs</t>
        </is>
      </c>
      <c r="D10" s="8" t="inlineStr">
        <is>
          <t>asserted, not smoothed</t>
        </is>
      </c>
    </row>
    <row r="11">
      <c r="A11" s="8" t="inlineStr">
        <is>
          <t>AOV at the 40% external benchmark</t>
        </is>
      </c>
      <c r="B11" s="8" t="n">
        <v>755</v>
      </c>
      <c r="C11" s="8" t="inlineStr">
        <is>
          <t>Rs</t>
        </is>
      </c>
      <c r="D11" s="8" t="inlineStr">
        <is>
          <t>Eternal's disclosed return, not Flipkart's</t>
        </is>
      </c>
    </row>
    <row r="12">
      <c r="A12" s="8" t="inlineStr">
        <is>
          <t>Premium over breakeven</t>
        </is>
      </c>
      <c r="B12" s="8" t="n">
        <v>184</v>
      </c>
      <c r="C12" s="8" t="inlineStr">
        <is>
          <t>Rs</t>
        </is>
      </c>
      <c r="D12" s="8" t="inlineStr">
        <is>
          <t>what the basket lever must buy</t>
        </is>
      </c>
    </row>
    <row r="13">
      <c r="A13" s="8" t="inlineStr">
        <is>
          <t>Non-grocery share the benchmark implies</t>
        </is>
      </c>
      <c r="B13" s="8" t="n">
        <v>32.3</v>
      </c>
      <c r="C13" s="8" t="inlineStr">
        <is>
          <t>% of GOV</t>
        </is>
      </c>
      <c r="D13" s="8" t="inlineStr">
        <is>
          <t>inside the 30-40% range Swiggy discloses</t>
        </is>
      </c>
    </row>
  </sheetData>
  <mergeCells count="1">
    <mergeCell ref="A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0" customWidth="1" min="4" max="4"/>
    <col width="10" customWidth="1" min="5" max="5"/>
    <col width="13" customWidth="1" min="6" max="6"/>
  </cols>
  <sheetData>
    <row r="1" ht="22" customHeight="1">
      <c r="A1" s="1" t="inlineStr">
        <is>
          <t>Return on capital, DuPont and the scenarios</t>
        </is>
      </c>
    </row>
    <row r="2" ht="26" customHeight="1">
      <c r="A2" s="2" t="inlineStr">
        <is>
          <t>ROCE = EBIT/CE = margin leg x turnover leg. Capital employed is capex plus working capital on the adopted 14-day-on-NOV construct.</t>
        </is>
      </c>
    </row>
    <row r="4" ht="18" customHeight="1">
      <c r="A4" s="4" t="inlineStr">
        <is>
          <t>Line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Note</t>
        </is>
      </c>
    </row>
    <row r="5">
      <c r="A5" s="8" t="inlineStr">
        <is>
          <t>Capex, band midpoint</t>
        </is>
      </c>
      <c r="B5" s="8" t="n">
        <v>235</v>
      </c>
      <c r="C5" s="8" t="inlineStr">
        <is>
          <t>Rs lakh</t>
        </is>
      </c>
      <c r="D5" s="8" t="inlineStr"/>
    </row>
    <row r="6">
      <c r="A6" s="8" t="inlineStr">
        <is>
          <t>Working capital</t>
        </is>
      </c>
      <c r="B6" s="8" t="n">
        <v>88.90000000000001</v>
      </c>
      <c r="C6" s="8" t="inlineStr">
        <is>
          <t>Rs lakh</t>
        </is>
      </c>
      <c r="D6" s="8" t="inlineStr">
        <is>
          <t>14 NWC days on NOV</t>
        </is>
      </c>
    </row>
    <row r="7">
      <c r="A7" s="8" t="inlineStr">
        <is>
          <t>Capital employed</t>
        </is>
      </c>
      <c r="B7" s="8" t="n">
        <v>323.9</v>
      </c>
      <c r="C7" s="8" t="inlineStr">
        <is>
          <t>Rs lakh</t>
        </is>
      </c>
      <c r="D7" s="8" t="inlineStr">
        <is>
          <t>capex + working capital</t>
        </is>
      </c>
    </row>
    <row r="8">
      <c r="A8" s="8" t="inlineStr">
        <is>
          <t>DuPont margin leg</t>
        </is>
      </c>
      <c r="B8" s="8" t="n">
        <v>4.74</v>
      </c>
      <c r="C8" s="8" t="inlineStr">
        <is>
          <t>%</t>
        </is>
      </c>
      <c r="D8" s="8" t="inlineStr">
        <is>
          <t>at the benchmark AOV</t>
        </is>
      </c>
    </row>
    <row r="9">
      <c r="A9" s="8" t="inlineStr">
        <is>
          <t>DuPont turnover leg</t>
        </is>
      </c>
      <c r="B9" s="8" t="n">
        <v>8.44</v>
      </c>
      <c r="C9" s="8" t="inlineStr">
        <is>
          <t>x</t>
        </is>
      </c>
      <c r="D9" s="8" t="inlineStr">
        <is>
          <t>the node's own turnover on CE</t>
        </is>
      </c>
    </row>
    <row r="10">
      <c r="A10" s="8" t="inlineStr">
        <is>
          <t>Like-for-like asset turn</t>
        </is>
      </c>
      <c r="B10" s="8" t="n">
        <v>6.93</v>
      </c>
      <c r="C10" s="8" t="inlineStr">
        <is>
          <t>x</t>
        </is>
      </c>
      <c r="D10" s="8" t="inlineStr">
        <is>
          <t>common AOV Rs450, isolates density x calendar</t>
        </is>
      </c>
    </row>
    <row r="11">
      <c r="A11" s="8" t="inlineStr">
        <is>
          <t>IRR at the benchmark AOV</t>
        </is>
      </c>
      <c r="B11" s="8" t="n">
        <v>34.4</v>
      </c>
      <c r="C11" s="8" t="inlineStr">
        <is>
          <t>%</t>
        </is>
      </c>
      <c r="D11" s="8" t="inlineStr">
        <is>
          <t>5-year life, 3-month ramp</t>
        </is>
      </c>
    </row>
    <row r="13" ht="18" customHeight="1">
      <c r="A13" s="4" t="inlineStr">
        <is>
          <t>Scenario</t>
        </is>
      </c>
      <c r="B13" s="4" t="inlineStr">
        <is>
          <t>AOV</t>
        </is>
      </c>
      <c r="C13" s="4" t="inlineStr">
        <is>
          <t>Margin</t>
        </is>
      </c>
      <c r="D13" s="4" t="inlineStr">
        <is>
          <t>Turn</t>
        </is>
      </c>
      <c r="E13" s="4" t="inlineStr">
        <is>
          <t>ROCE</t>
        </is>
      </c>
      <c r="F13" s="4" t="inlineStr">
        <is>
          <t>Payback mo</t>
        </is>
      </c>
    </row>
    <row r="14">
      <c r="A14" s="10" t="inlineStr">
        <is>
          <t>Underwritten  (AOV at breakeven)</t>
        </is>
      </c>
      <c r="B14" s="10" t="n">
        <v>571</v>
      </c>
      <c r="C14" s="10" t="n">
        <v>-0</v>
      </c>
      <c r="D14" s="10" t="n">
        <v>6.38</v>
      </c>
      <c r="E14" s="10" t="n">
        <v>-0</v>
      </c>
      <c r="F14" s="10" t="inlineStr">
        <is>
          <t>—</t>
        </is>
      </c>
    </row>
    <row r="15">
      <c r="A15" s="10" t="inlineStr">
        <is>
          <t>Basket at 30% non-grocery</t>
        </is>
      </c>
      <c r="B15" s="10" t="n">
        <v>729</v>
      </c>
      <c r="C15" s="10" t="n">
        <v>4.22</v>
      </c>
      <c r="D15" s="10" t="n">
        <v>8.15</v>
      </c>
      <c r="E15" s="10" t="n">
        <v>34.4</v>
      </c>
      <c r="F15" s="10" t="n">
        <v>25</v>
      </c>
    </row>
    <row r="16">
      <c r="A16" s="10" t="inlineStr">
        <is>
          <t>Basket at 40% non-grocery</t>
        </is>
      </c>
      <c r="B16" s="10" t="n">
        <v>842</v>
      </c>
      <c r="C16" s="10" t="n">
        <v>6.25</v>
      </c>
      <c r="D16" s="10" t="n">
        <v>9.41</v>
      </c>
      <c r="E16" s="10" t="n">
        <v>58.8</v>
      </c>
      <c r="F16" s="10" t="n">
        <v>15</v>
      </c>
    </row>
    <row r="17">
      <c r="A17" s="10" t="inlineStr">
        <is>
          <t>Basket at 30%, volume -30%</t>
        </is>
      </c>
      <c r="B17" s="10" t="n">
        <v>729</v>
      </c>
      <c r="C17" s="10" t="n">
        <v>2.46</v>
      </c>
      <c r="D17" s="10" t="n">
        <v>5.71</v>
      </c>
      <c r="E17" s="10" t="n">
        <v>14</v>
      </c>
      <c r="F17" s="10" t="n">
        <v>62</v>
      </c>
    </row>
    <row r="19">
      <c r="A19" s="3" t="inlineStr">
        <is>
          <t>THE LIMIT: at a 30% basket with volume -30%, ROCE is 14.0% and payback runs to 62 months against a 60-month life. The node does not pay back within its life under that combination, which is why day 90 measures volume first.</t>
        </is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52" customWidth="1" min="3" max="3"/>
  </cols>
  <sheetData>
    <row r="1" ht="22" customHeight="1">
      <c r="A1" s="1" t="inlineStr">
        <is>
          <t>The academic dead zone, priced</t>
        </is>
      </c>
    </row>
    <row r="2" ht="26" customHeight="1">
      <c r="A2" s="2" t="inlineStr">
        <is>
          <t>A 3.5-month break with no students. Five strategies, one basis. Repurpose fills the node from the adjacent catchment rather than mothballing it.</t>
        </is>
      </c>
    </row>
    <row r="4" ht="18" customHeight="1">
      <c r="A4" s="4" t="inlineStr">
        <is>
          <t>Restart credit state</t>
        </is>
      </c>
      <c r="B4" s="4" t="inlineStr">
        <is>
          <t>Working capital</t>
        </is>
      </c>
      <c r="C4" s="4" t="inlineStr">
        <is>
          <t>Note</t>
        </is>
      </c>
    </row>
    <row r="5">
      <c r="A5" s="10" t="inlineStr">
        <is>
          <t>credit intact</t>
        </is>
      </c>
      <c r="B5" s="10" t="n">
        <v>0</v>
      </c>
      <c r="C5" s="10" t="inlineStr">
        <is>
          <t>suppliers resume terms; the rebuild is payables-funded</t>
        </is>
      </c>
    </row>
    <row r="6">
      <c r="A6" s="10" t="inlineStr">
        <is>
          <t>30-day reset</t>
        </is>
      </c>
      <c r="B6" s="10" t="n">
        <v>37.8</v>
      </c>
      <c r="C6" s="10" t="inlineStr">
        <is>
          <t>partially self-funded while terms re-establish</t>
        </is>
      </c>
    </row>
    <row r="7">
      <c r="A7" s="8" t="inlineStr">
        <is>
          <t>full reset (ADOPTED)</t>
        </is>
      </c>
      <c r="B7" s="8" t="n">
        <v>75.5</v>
      </c>
      <c r="C7" s="8" t="inlineStr">
        <is>
          <t>the whole 60-day cycle self-funded — the downside</t>
        </is>
      </c>
    </row>
    <row r="9">
      <c r="A9" s="9" t="inlineStr">
        <is>
          <t>Working-capital constructs</t>
        </is>
      </c>
      <c r="B9" s="9" t="n"/>
      <c r="C9" s="9" t="n"/>
    </row>
    <row r="10">
      <c r="A10" s="10" t="inlineStr">
        <is>
          <t>NWC days x NOV (14d)</t>
        </is>
      </c>
      <c r="B10" s="10" t="n">
        <v>88.90000000000001</v>
      </c>
      <c r="C10" s="10" t="inlineStr">
        <is>
          <t>ADOPTED</t>
        </is>
      </c>
    </row>
    <row r="11">
      <c r="A11" s="10" t="inlineStr">
        <is>
          <t>12-day steady state</t>
        </is>
      </c>
      <c r="B11" s="10" t="n">
        <v>76.2</v>
      </c>
      <c r="C11" s="10" t="inlineStr">
        <is>
          <t>sensitivity</t>
        </is>
      </c>
    </row>
    <row r="12">
      <c r="A12" s="10" t="inlineStr">
        <is>
          <t>COGS x 18 days</t>
        </is>
      </c>
      <c r="B12" s="10" t="n">
        <v>116.4</v>
      </c>
      <c r="C12" s="10" t="inlineStr">
        <is>
          <t>REJECTED — double-counts the netting</t>
        </is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</cols>
  <sheetData>
    <row r="1" ht="22" customHeight="1">
      <c r="A1" s="1" t="inlineStr">
        <is>
          <t>Priced shocks, against the deck spine</t>
        </is>
      </c>
    </row>
    <row r="2" ht="26" customHeight="1">
      <c r="A2" s="2" t="inlineStr">
        <is>
          <t>Each shock is re-solved for the AOV it would require, on the same D2-consistent basis as the spine. One combined case moves two variables together.</t>
        </is>
      </c>
    </row>
    <row r="4" ht="18" customHeight="1">
      <c r="A4" s="4" t="inlineStr">
        <is>
          <t>Shock</t>
        </is>
      </c>
      <c r="B4" s="4" t="inlineStr">
        <is>
          <t>Breakeven AOV</t>
        </is>
      </c>
      <c r="C4" s="4" t="inlineStr">
        <is>
          <t>Basis</t>
        </is>
      </c>
    </row>
    <row r="5">
      <c r="A5" s="8" t="inlineStr">
        <is>
          <t>Volume -30%</t>
        </is>
      </c>
      <c r="B5" s="8" t="n">
        <v>640</v>
      </c>
      <c r="C5" s="8" t="inlineStr">
        <is>
          <t>thinner fixed-base absorption</t>
        </is>
      </c>
    </row>
    <row r="6">
      <c r="A6" s="8" t="inlineStr">
        <is>
          <t>Shrinkage, upper bound</t>
        </is>
      </c>
      <c r="B6" s="8" t="n">
        <v>615</v>
      </c>
      <c r="C6" s="8" t="inlineStr">
        <is>
          <t>1.8% of NOV</t>
        </is>
      </c>
    </row>
    <row r="7">
      <c r="A7" s="8" t="inlineStr">
        <is>
          <t>Gig social-security levy</t>
        </is>
      </c>
      <c r="B7" s="8" t="n">
        <v>588</v>
      </c>
      <c r="C7" s="8" t="inlineStr">
        <is>
          <t>201st Parliamentary report</t>
        </is>
      </c>
    </row>
    <row r="8">
      <c r="A8" s="8" t="inlineStr">
        <is>
          <t>Calendar fragmentation</t>
        </is>
      </c>
      <c r="B8" s="8" t="n">
        <v>582</v>
      </c>
      <c r="C8" s="8" t="inlineStr">
        <is>
          <t>shape of the break, not its length</t>
        </is>
      </c>
    </row>
    <row r="10">
      <c r="A10" s="3" t="inlineStr">
        <is>
          <t>Deck spine for comparison: Rs573</t>
        </is>
      </c>
    </row>
  </sheetData>
  <mergeCells count="1">
    <mergeCell ref="A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6" customWidth="1" min="3" max="3"/>
  </cols>
  <sheetData>
    <row r="1" ht="22" customHeight="1">
      <c r="A1" s="1" t="inlineStr">
        <is>
          <t>The site screen — districts, not sites</t>
        </is>
      </c>
    </row>
    <row r="2" ht="26" customHeight="1">
      <c r="A2" s="2" t="inlineStr">
        <is>
          <t>A desktop screen over the AISHE register. It ranks candidates; siting still runs the cluster test on the ground.</t>
        </is>
      </c>
    </row>
    <row r="4" ht="18" customHeight="1">
      <c r="A4" s="4" t="inlineStr">
        <is>
          <t>Step</t>
        </is>
      </c>
      <c r="B4" s="4" t="inlineStr">
        <is>
          <t>Count</t>
        </is>
      </c>
      <c r="C4" s="4" t="inlineStr">
        <is>
          <t>Note</t>
        </is>
      </c>
    </row>
    <row r="5">
      <c r="A5" s="8" t="inlineStr">
        <is>
          <t>Institutions in the register</t>
        </is>
      </c>
      <c r="B5" s="8" t="n">
        <v>72352</v>
      </c>
      <c r="C5" s="8" t="inlineStr">
        <is>
          <t>AISHE, as on 28-8-2026</t>
        </is>
      </c>
    </row>
    <row r="6">
      <c r="A6" s="8" t="inlineStr">
        <is>
          <t>Colleges only</t>
        </is>
      </c>
      <c r="B6" s="8" t="n">
        <v>54014</v>
      </c>
      <c r="C6" s="8" t="inlineStr">
        <is>
          <t>colleges</t>
        </is>
      </c>
    </row>
    <row r="7">
      <c r="A7" s="8" t="inlineStr">
        <is>
          <t>Urban colleges</t>
        </is>
      </c>
      <c r="B7" s="8" t="n">
        <v>21000</v>
      </c>
      <c r="C7" s="8" t="inlineStr">
        <is>
          <t>urban flag</t>
        </is>
      </c>
    </row>
    <row r="8">
      <c r="A8" s="8" t="inlineStr">
        <is>
          <t>Districts passing four criteria</t>
        </is>
      </c>
      <c r="B8" s="8" t="n">
        <v>111</v>
      </c>
      <c r="C8" s="8" t="inlineStr">
        <is>
          <t>of 765 (State, District) pairs</t>
        </is>
      </c>
    </row>
    <row r="9">
      <c r="A9" s="8" t="inlineStr">
        <is>
          <t>Uncontested</t>
        </is>
      </c>
      <c r="B9" s="8" t="n">
        <v>9</v>
      </c>
      <c r="C9" s="8" t="inlineStr">
        <is>
          <t>the screen's own floor: 6-7 urban colleges</t>
        </is>
      </c>
    </row>
    <row r="10">
      <c r="A10" s="8" t="inlineStr">
        <is>
          <t>Contested</t>
        </is>
      </c>
      <c r="B10" s="8" t="n">
        <v>22</v>
      </c>
      <c r="C10" s="8" t="inlineStr"/>
    </row>
    <row r="11">
      <c r="A11" s="8" t="inlineStr">
        <is>
          <t>Stacked</t>
        </is>
      </c>
      <c r="B11" s="8" t="n">
        <v>80</v>
      </c>
      <c r="C11" s="8" t="inlineStr"/>
    </row>
  </sheetData>
  <mergeCells count="1">
    <mergeCell ref="A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 ht="22" customHeight="1">
      <c r="A1" s="1" t="inlineStr">
        <is>
          <t>How this package checks itself</t>
        </is>
      </c>
    </row>
    <row r="2" ht="26" customHeight="1">
      <c r="A2" s="2" t="inlineStr">
        <is>
          <t>5 verification layers plus four source scans. Absence checks matter as much as presence: ones: a superseded figure in a panel nothing reads is invisible to a positive check.</t>
        </is>
      </c>
    </row>
    <row r="4" ht="18" customHeight="1">
      <c r="A4" s="4" t="inlineStr">
        <is>
          <t>Guard</t>
        </is>
      </c>
      <c r="B4" s="4" t="inlineStr">
        <is>
          <t>What it catches</t>
        </is>
      </c>
    </row>
    <row r="5">
      <c r="A5" s="10" t="inlineStr">
        <is>
          <t>params.py</t>
        </is>
      </c>
      <c r="B5" s="10" t="inlineStr">
        <is>
          <t>a contested policy constant defined more than once</t>
        </is>
      </c>
    </row>
    <row r="6">
      <c r="A6" s="10" t="inlineStr">
        <is>
          <t>verify_artifacts.py</t>
        </is>
      </c>
      <c r="B6" s="10" t="inlineStr">
        <is>
          <t>a stale figure in the workbook, notebooks or asset manifest</t>
        </is>
      </c>
    </row>
    <row r="7">
      <c r="A7" s="10" t="inlineStr">
        <is>
          <t>recon(a, b)</t>
        </is>
      </c>
      <c r="B7" s="10" t="inlineStr">
        <is>
          <t>two modules computing the same quantity under different policies</t>
        </is>
      </c>
    </row>
    <row r="8">
      <c r="A8" s="10" t="inlineStr">
        <is>
          <t>phrase bans</t>
        </is>
      </c>
      <c r="B8" s="10" t="inlineStr">
        <is>
          <t>wording the deck must not contain, including attribution</t>
        </is>
      </c>
    </row>
    <row r="9">
      <c r="A9" s="10" t="inlineStr">
        <is>
          <t>superseded-value bans</t>
        </is>
      </c>
      <c r="B9" s="10" t="inlineStr">
        <is>
          <t>a pre-correction figure surviving in any panel</t>
        </is>
      </c>
    </row>
    <row r="10">
      <c r="A10" s="10" t="inlineStr">
        <is>
          <t>duplicate-registration guard</t>
        </is>
      </c>
      <c r="B10" s="10" t="inlineStr">
        <is>
          <t>a check registered twice, inflating the count</t>
        </is>
      </c>
    </row>
    <row r="11">
      <c r="A11" s="10" t="inlineStr">
        <is>
          <t>stale-basis scan</t>
        </is>
      </c>
      <c r="B11" s="10" t="inlineStr">
        <is>
          <t>a superseded value used as a literal cost basis, defaults included</t>
        </is>
      </c>
    </row>
    <row r="12">
      <c r="A12" s="10" t="inlineStr">
        <is>
          <t>document scan</t>
        </is>
      </c>
      <c r="B12" s="10" t="inlineStr">
        <is>
          <t>a superseded figure in HANDOFF, spec, build prompt or README</t>
        </is>
      </c>
    </row>
    <row r="13">
      <c r="A13" s="10" t="inlineStr">
        <is>
          <t>release.py</t>
        </is>
      </c>
      <c r="B13" s="10" t="inlineStr">
        <is>
          <t>build - verify - capture - stamp - re-verify the exact stamped file</t>
        </is>
      </c>
    </row>
  </sheetData>
  <mergeCells count="1">
    <mergeCell ref="A2: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20" customWidth="1" min="3" max="3"/>
    <col width="14" customWidth="1" min="4" max="4"/>
    <col width="20" customWidth="1" min="5" max="5"/>
    <col width="42" customWidth="1" min="6" max="6"/>
  </cols>
  <sheetData>
    <row r="1" ht="22" customHeight="1">
      <c r="A1" s="1" t="inlineStr">
        <is>
          <t>PG adjacency — evidence-gated demand and capacity</t>
        </is>
      </c>
    </row>
    <row r="2" ht="26" customHeight="1">
      <c r="A2" s="2" t="inlineStr">
        <is>
          <t>The hostel-only base case is unchanged. PG demand enters only after the evidence gate opens, and only into spare term capacity or available break-period capacity. Edit the gold pilot inputs on 1 Inputs; every output below is a live formula.</t>
        </is>
      </c>
    </row>
    <row r="4">
      <c r="A4" s="3" t="inlineStr">
        <is>
          <t>CONFIGURED SCENARIO — ZERO UNTIL THE PILOT INPUTS ARE EVIDENCED</t>
        </is>
      </c>
    </row>
    <row r="5" ht="18" customHeight="1">
      <c r="A5" s="4" t="inlineStr">
        <is>
          <t>Metric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Decision reading</t>
        </is>
      </c>
    </row>
    <row r="6">
      <c r="A6" s="11" t="inlineStr">
        <is>
          <t>PG demand evidence status</t>
        </is>
      </c>
      <c r="B6" s="11">
        <f>IF(AND('1 Inputs'!$B$19=TRUE,'1 Inputs'!$B$20&gt;0,'1 Inputs'!$B$21&gt;0,'1 Inputs'!$B$22&gt;0),"OPEN","CLOSED")</f>
        <v/>
      </c>
      <c r="C6" s="11" t="inlineStr"/>
      <c r="D6" s="11" t="inlineStr">
        <is>
          <t>CLOSED means PG contributes zero to every published return</t>
        </is>
      </c>
    </row>
    <row r="7">
      <c r="A7" s="8" t="inlineStr">
        <is>
          <t>Gross PG demand</t>
        </is>
      </c>
      <c r="B7" s="12">
        <f>IF(AND('1 Inputs'!$B$19=TRUE,'1 Inputs'!$B$20&gt;0,'1 Inputs'!$B$21&gt;0,'1 Inputs'!$B$22&gt;0),'1 Inputs'!$B$20*'1 Inputs'!$B$21*'1 Inputs'!$B$26,0)</f>
        <v/>
      </c>
      <c r="C7" s="8" t="inlineStr">
        <is>
          <t>orders/day</t>
        </is>
      </c>
      <c r="D7" s="8" t="inlineStr">
        <is>
          <t>verified beds × active-user penetration × frequency</t>
        </is>
      </c>
    </row>
    <row r="8">
      <c r="A8" s="8" t="inlineStr">
        <is>
          <t>Spare term capacity</t>
        </is>
      </c>
      <c r="B8" s="12">
        <f>MAX(0,'1 Inputs'!$B$5-'1 Inputs'!$B$25)</f>
        <v/>
      </c>
      <c r="C8" s="8" t="inlineStr">
        <is>
          <t>orders/day</t>
        </is>
      </c>
      <c r="D8" s="8" t="inlineStr">
        <is>
          <t>PG is not added above the store working ceiling</t>
        </is>
      </c>
    </row>
    <row r="9">
      <c r="A9" s="8" t="inlineStr">
        <is>
          <t>PG admitted in term</t>
        </is>
      </c>
      <c r="B9" s="12">
        <f>MIN(B7,B8)</f>
        <v/>
      </c>
      <c r="C9" s="8" t="inlineStr">
        <is>
          <t>orders/day</t>
        </is>
      </c>
      <c r="D9" s="8" t="inlineStr">
        <is>
          <t>the lower of evidenced demand and spare capacity</t>
        </is>
      </c>
    </row>
    <row r="10">
      <c r="A10" s="8" t="inlineStr">
        <is>
          <t>PG overflow / capacity trigger</t>
        </is>
      </c>
      <c r="B10" s="12">
        <f>MAX(0,B7-B9)</f>
        <v/>
      </c>
      <c r="C10" s="8" t="inlineStr">
        <is>
          <t>orders/day</t>
        </is>
      </c>
      <c r="D10" s="8" t="inlineStr">
        <is>
          <t>requires capacity expansion or remains unserved</t>
        </is>
      </c>
    </row>
    <row r="11">
      <c r="A11" s="8" t="inlineStr">
        <is>
          <t>PG admitted in academic break</t>
        </is>
      </c>
      <c r="B11" s="12">
        <f>MIN('1 Inputs'!$B$5,B7*'1 Inputs'!$B$24)</f>
        <v/>
      </c>
      <c r="C11" s="8" t="inlineStr">
        <is>
          <t>orders/day</t>
        </is>
      </c>
      <c r="D11" s="8" t="inlineStr">
        <is>
          <t>zero until break retention is measured</t>
        </is>
      </c>
    </row>
    <row r="12">
      <c r="A12" s="8" t="inlineStr">
        <is>
          <t>Weighted PG last mile</t>
        </is>
      </c>
      <c r="B12" s="13">
        <f>(1-'1 Inputs'!$B$23)*'1 Inputs'!$B$27+'1 Inputs'!$B$23*'1 Inputs'!$B$28</f>
        <v/>
      </c>
      <c r="C12" s="8" t="inlineStr">
        <is>
          <t>Rs/order</t>
        </is>
      </c>
      <c r="D12" s="8" t="inlineStr">
        <is>
          <t>doorstep/common-drop mix</t>
        </is>
      </c>
    </row>
    <row r="13">
      <c r="A13" s="8" t="inlineStr">
        <is>
          <t>PG contribution per order</t>
        </is>
      </c>
      <c r="B13" s="13">
        <f>IF('1 Inputs'!$B$22&gt;0,'1 Inputs'!$B$8*'1 Inputs'!$B$22-B12-'1 Inputs'!$B$10-'1 Inputs'!$B$11-'1 Inputs'!$B$12,0)</f>
        <v/>
      </c>
      <c r="C13" s="8" t="inlineStr">
        <is>
          <t>Rs/order</t>
        </is>
      </c>
      <c r="D13" s="8" t="inlineStr">
        <is>
          <t>same take rate and store-cost basis as the core model</t>
        </is>
      </c>
    </row>
    <row r="14">
      <c r="A14" s="8" t="inlineStr">
        <is>
          <t>Annual incremental PG orders</t>
        </is>
      </c>
      <c r="B14" s="14">
        <f>B9*'1 Inputs'!$B$30+B11*'1 Inputs'!$B$31</f>
        <v/>
      </c>
      <c r="C14" s="8" t="inlineStr">
        <is>
          <t>orders/year</t>
        </is>
      </c>
      <c r="D14" s="8" t="inlineStr">
        <is>
          <t>term spare capacity plus measured break retention</t>
        </is>
      </c>
    </row>
    <row r="15">
      <c r="A15" s="8" t="inlineStr">
        <is>
          <t>Incremental PG EBIT</t>
        </is>
      </c>
      <c r="B15" s="14">
        <f>B14*B13</f>
        <v/>
      </c>
      <c r="C15" s="8" t="inlineStr">
        <is>
          <t>Rs/year</t>
        </is>
      </c>
      <c r="D15" s="8" t="inlineStr">
        <is>
          <t>before any capacity-expansion capex</t>
        </is>
      </c>
    </row>
    <row r="16">
      <c r="A16" s="8" t="inlineStr">
        <is>
          <t>Incremental PG working capital</t>
        </is>
      </c>
      <c r="B16" s="14">
        <f>MAX(B9,B11)*'1 Inputs'!$B$22*'1 Inputs'!$B$29*'1 Inputs'!$B$15</f>
        <v/>
      </c>
      <c r="C16" s="8" t="inlineStr">
        <is>
          <t>Rs</t>
        </is>
      </c>
      <c r="D16" s="8" t="inlineStr">
        <is>
          <t>14 NWC days on incremental NOV</t>
        </is>
      </c>
    </row>
    <row r="17">
      <c r="A17" s="8" t="inlineStr">
        <is>
          <t>Base EBIT at configured hostel volume</t>
        </is>
      </c>
      <c r="B17" s="14">
        <f>('1 Inputs'!$B$8*'1 Inputs'!$B$32-'1 Inputs'!$B$13-'1 Inputs'!$B$14-'1 Inputs'!$B$10-'1 Inputs'!$B$11-'1 Inputs'!$B$12)*'1 Inputs'!$B$25*'1 Inputs'!$B$30-'1 Inputs'!$B$9*12</f>
        <v/>
      </c>
      <c r="C17" s="8" t="inlineStr">
        <is>
          <t>Rs/year</t>
        </is>
      </c>
      <c r="D17" s="8" t="inlineStr">
        <is>
          <t>30% non-grocery AOV comparison basis</t>
        </is>
      </c>
    </row>
    <row r="18">
      <c r="A18" s="8" t="inlineStr">
        <is>
          <t>Pro-forma node ROCE</t>
        </is>
      </c>
      <c r="B18" s="15">
        <f>(B17+B15)/('1 Inputs'!$B$16+'1 Inputs'!$B$15*'1 Inputs'!$B$5*'1 Inputs'!$B$32*'1 Inputs'!$B$29+B16)</f>
        <v/>
      </c>
      <c r="C18" s="8" t="inlineStr">
        <is>
          <t>%</t>
        </is>
      </c>
      <c r="D18" s="8" t="inlineStr">
        <is>
          <t>PG changes the return only after the evidence gate opens</t>
        </is>
      </c>
    </row>
    <row r="21">
      <c r="A21" s="3" t="inlineStr">
        <is>
          <t>NORMALISED CAPACITY SENSITIVITY — PER 1,000 VERIFIED OCCUPIED STUDENT BEDS</t>
        </is>
      </c>
    </row>
    <row r="22" ht="18" customHeight="1">
      <c r="A22" s="4" t="inlineStr">
        <is>
          <t>Active-user penetration</t>
        </is>
      </c>
      <c r="B22" s="4" t="inlineStr">
        <is>
          <t>Hostel orders/day</t>
        </is>
      </c>
      <c r="C22" s="4" t="inlineStr">
        <is>
          <t>Gross PG orders/day</t>
        </is>
      </c>
      <c r="D22" s="4" t="inlineStr">
        <is>
          <t>Spare capacity</t>
        </is>
      </c>
      <c r="E22" s="4" t="inlineStr">
        <is>
          <t>PG served</t>
        </is>
      </c>
      <c r="F22" s="4" t="inlineStr">
        <is>
          <t>PG overflow</t>
        </is>
      </c>
    </row>
    <row r="23">
      <c r="A23" s="16" t="n">
        <v>0.1</v>
      </c>
      <c r="B23" s="12" t="n">
        <v>1000</v>
      </c>
      <c r="C23" s="12">
        <f>1000*A23*'1 Inputs'!$B$26</f>
        <v/>
      </c>
      <c r="D23" s="12">
        <f>MAX(0,'1 Inputs'!$B$5-B23)</f>
        <v/>
      </c>
      <c r="E23" s="12">
        <f>MIN(C23,D23)</f>
        <v/>
      </c>
      <c r="F23" s="12">
        <f>MAX(0,C23-E23)</f>
        <v/>
      </c>
    </row>
    <row r="24">
      <c r="A24" s="16" t="n">
        <v>0.1</v>
      </c>
      <c r="B24" s="12" t="n">
        <v>1200</v>
      </c>
      <c r="C24" s="12">
        <f>1000*A24*'1 Inputs'!$B$26</f>
        <v/>
      </c>
      <c r="D24" s="12">
        <f>MAX(0,'1 Inputs'!$B$5-B24)</f>
        <v/>
      </c>
      <c r="E24" s="12">
        <f>MIN(C24,D24)</f>
        <v/>
      </c>
      <c r="F24" s="12">
        <f>MAX(0,C24-E24)</f>
        <v/>
      </c>
    </row>
    <row r="25">
      <c r="A25" s="16" t="n">
        <v>0.1</v>
      </c>
      <c r="B25" s="12" t="n">
        <v>1400</v>
      </c>
      <c r="C25" s="12">
        <f>1000*A25*'1 Inputs'!$B$26</f>
        <v/>
      </c>
      <c r="D25" s="12">
        <f>MAX(0,'1 Inputs'!$B$5-B25)</f>
        <v/>
      </c>
      <c r="E25" s="12">
        <f>MIN(C25,D25)</f>
        <v/>
      </c>
      <c r="F25" s="12">
        <f>MAX(0,C25-E25)</f>
        <v/>
      </c>
    </row>
    <row r="26">
      <c r="A26" s="16" t="n">
        <v>0.25</v>
      </c>
      <c r="B26" s="12" t="n">
        <v>1000</v>
      </c>
      <c r="C26" s="12">
        <f>1000*A26*'1 Inputs'!$B$26</f>
        <v/>
      </c>
      <c r="D26" s="12">
        <f>MAX(0,'1 Inputs'!$B$5-B26)</f>
        <v/>
      </c>
      <c r="E26" s="12">
        <f>MIN(C26,D26)</f>
        <v/>
      </c>
      <c r="F26" s="12">
        <f>MAX(0,C26-E26)</f>
        <v/>
      </c>
    </row>
    <row r="27">
      <c r="A27" s="16" t="n">
        <v>0.25</v>
      </c>
      <c r="B27" s="12" t="n">
        <v>1200</v>
      </c>
      <c r="C27" s="12">
        <f>1000*A27*'1 Inputs'!$B$26</f>
        <v/>
      </c>
      <c r="D27" s="12">
        <f>MAX(0,'1 Inputs'!$B$5-B27)</f>
        <v/>
      </c>
      <c r="E27" s="12">
        <f>MIN(C27,D27)</f>
        <v/>
      </c>
      <c r="F27" s="12">
        <f>MAX(0,C27-E27)</f>
        <v/>
      </c>
    </row>
    <row r="28">
      <c r="A28" s="16" t="n">
        <v>0.25</v>
      </c>
      <c r="B28" s="12" t="n">
        <v>1400</v>
      </c>
      <c r="C28" s="12">
        <f>1000*A28*'1 Inputs'!$B$26</f>
        <v/>
      </c>
      <c r="D28" s="12">
        <f>MAX(0,'1 Inputs'!$B$5-B28)</f>
        <v/>
      </c>
      <c r="E28" s="12">
        <f>MIN(C28,D28)</f>
        <v/>
      </c>
      <c r="F28" s="12">
        <f>MAX(0,C28-E28)</f>
        <v/>
      </c>
    </row>
    <row r="29">
      <c r="A29" s="16" t="n">
        <v>0.4</v>
      </c>
      <c r="B29" s="12" t="n">
        <v>1000</v>
      </c>
      <c r="C29" s="12">
        <f>1000*A29*'1 Inputs'!$B$26</f>
        <v/>
      </c>
      <c r="D29" s="12">
        <f>MAX(0,'1 Inputs'!$B$5-B29)</f>
        <v/>
      </c>
      <c r="E29" s="12">
        <f>MIN(C29,D29)</f>
        <v/>
      </c>
      <c r="F29" s="12">
        <f>MAX(0,C29-E29)</f>
        <v/>
      </c>
    </row>
    <row r="30">
      <c r="A30" s="16" t="n">
        <v>0.4</v>
      </c>
      <c r="B30" s="12" t="n">
        <v>1200</v>
      </c>
      <c r="C30" s="12">
        <f>1000*A30*'1 Inputs'!$B$26</f>
        <v/>
      </c>
      <c r="D30" s="12">
        <f>MAX(0,'1 Inputs'!$B$5-B30)</f>
        <v/>
      </c>
      <c r="E30" s="12">
        <f>MIN(C30,D30)</f>
        <v/>
      </c>
      <c r="F30" s="12">
        <f>MAX(0,C30-E30)</f>
        <v/>
      </c>
    </row>
    <row r="31">
      <c r="A31" s="16" t="n">
        <v>0.4</v>
      </c>
      <c r="B31" s="12" t="n">
        <v>1400</v>
      </c>
      <c r="C31" s="12">
        <f>1000*A31*'1 Inputs'!$B$26</f>
        <v/>
      </c>
      <c r="D31" s="12">
        <f>MAX(0,'1 Inputs'!$B$5-B31)</f>
        <v/>
      </c>
      <c r="E31" s="12">
        <f>MIN(C31,D31)</f>
        <v/>
      </c>
      <c r="F31" s="12">
        <f>MAX(0,C31-E31)</f>
        <v/>
      </c>
    </row>
    <row r="34">
      <c r="A34" s="3" t="inlineStr">
        <is>
          <t>PG UNIT ECONOMICS — EXISTING MODEL AOV REFERENCES, NOT A FORECAST</t>
        </is>
      </c>
    </row>
    <row r="35" ht="18" customHeight="1">
      <c r="A35" s="4" t="inlineStr">
        <is>
          <t>AOV reference</t>
        </is>
      </c>
      <c r="B35" s="4" t="inlineStr">
        <is>
          <t>AOV</t>
        </is>
      </c>
      <c r="C35" s="4" t="inlineStr">
        <is>
          <t>Common-drop share</t>
        </is>
      </c>
      <c r="D35" s="4" t="inlineStr">
        <is>
          <t>Last mile</t>
        </is>
      </c>
      <c r="E35" s="4" t="inlineStr">
        <is>
          <t>Contribution/order</t>
        </is>
      </c>
      <c r="F35" s="4" t="inlineStr">
        <is>
          <t>Reading</t>
        </is>
      </c>
    </row>
    <row r="36">
      <c r="A36" s="8" t="inlineStr">
        <is>
          <t>Minutes current midpoint</t>
        </is>
      </c>
      <c r="B36" s="13" t="n">
        <v>450</v>
      </c>
      <c r="C36" s="16" t="n">
        <v>0</v>
      </c>
      <c r="D36" s="13">
        <f>(1-C36)*'1 Inputs'!$B$27+C36*'1 Inputs'!$B$28</f>
        <v/>
      </c>
      <c r="E36" s="13">
        <f>'1 Inputs'!$B$8*B36-D36-'1 Inputs'!$B$10-'1 Inputs'!$B$11-'1 Inputs'!$B$12</f>
        <v/>
      </c>
      <c r="F36" s="8">
        <f>IF(E36&gt;0,"positive before fixed cost","does not cover variable cost")</f>
        <v/>
      </c>
    </row>
    <row r="37">
      <c r="A37" s="8" t="inlineStr">
        <is>
          <t>Minutes current midpoint</t>
        </is>
      </c>
      <c r="B37" s="13" t="n">
        <v>450</v>
      </c>
      <c r="C37" s="16" t="n">
        <v>0.5</v>
      </c>
      <c r="D37" s="13">
        <f>(1-C37)*'1 Inputs'!$B$27+C37*'1 Inputs'!$B$28</f>
        <v/>
      </c>
      <c r="E37" s="13">
        <f>'1 Inputs'!$B$8*B37-D37-'1 Inputs'!$B$10-'1 Inputs'!$B$11-'1 Inputs'!$B$12</f>
        <v/>
      </c>
      <c r="F37" s="8">
        <f>IF(E37&gt;0,"positive before fixed cost","does not cover variable cost")</f>
        <v/>
      </c>
    </row>
    <row r="38">
      <c r="A38" s="8" t="inlineStr">
        <is>
          <t>Minutes current midpoint</t>
        </is>
      </c>
      <c r="B38" s="13" t="n">
        <v>450</v>
      </c>
      <c r="C38" s="16" t="n">
        <v>1</v>
      </c>
      <c r="D38" s="13">
        <f>(1-C38)*'1 Inputs'!$B$27+C38*'1 Inputs'!$B$28</f>
        <v/>
      </c>
      <c r="E38" s="13">
        <f>'1 Inputs'!$B$8*B38-D38-'1 Inputs'!$B$10-'1 Inputs'!$B$11-'1 Inputs'!$B$12</f>
        <v/>
      </c>
      <c r="F38" s="8">
        <f>IF(E38&gt;0,"positive before fixed cost","does not cover variable cost")</f>
        <v/>
      </c>
    </row>
    <row r="39">
      <c r="A39" s="8" t="inlineStr">
        <is>
          <t>Campus spine breakeven</t>
        </is>
      </c>
      <c r="B39" s="13" t="n">
        <v>573.0960959462569</v>
      </c>
      <c r="C39" s="16" t="n">
        <v>0</v>
      </c>
      <c r="D39" s="13">
        <f>(1-C39)*'1 Inputs'!$B$27+C39*'1 Inputs'!$B$28</f>
        <v/>
      </c>
      <c r="E39" s="13">
        <f>'1 Inputs'!$B$8*B39-D39-'1 Inputs'!$B$10-'1 Inputs'!$B$11-'1 Inputs'!$B$12</f>
        <v/>
      </c>
      <c r="F39" s="8">
        <f>IF(E39&gt;0,"positive before fixed cost","does not cover variable cost")</f>
        <v/>
      </c>
    </row>
    <row r="40">
      <c r="A40" s="8" t="inlineStr">
        <is>
          <t>Campus spine breakeven</t>
        </is>
      </c>
      <c r="B40" s="13" t="n">
        <v>573.0960959462569</v>
      </c>
      <c r="C40" s="16" t="n">
        <v>0.5</v>
      </c>
      <c r="D40" s="13">
        <f>(1-C40)*'1 Inputs'!$B$27+C40*'1 Inputs'!$B$28</f>
        <v/>
      </c>
      <c r="E40" s="13">
        <f>'1 Inputs'!$B$8*B40-D40-'1 Inputs'!$B$10-'1 Inputs'!$B$11-'1 Inputs'!$B$12</f>
        <v/>
      </c>
      <c r="F40" s="8">
        <f>IF(E40&gt;0,"positive before fixed cost","does not cover variable cost")</f>
        <v/>
      </c>
    </row>
    <row r="41">
      <c r="A41" s="8" t="inlineStr">
        <is>
          <t>Campus spine breakeven</t>
        </is>
      </c>
      <c r="B41" s="13" t="n">
        <v>573.0960959462569</v>
      </c>
      <c r="C41" s="16" t="n">
        <v>1</v>
      </c>
      <c r="D41" s="13">
        <f>(1-C41)*'1 Inputs'!$B$27+C41*'1 Inputs'!$B$28</f>
        <v/>
      </c>
      <c r="E41" s="13">
        <f>'1 Inputs'!$B$8*B41-D41-'1 Inputs'!$B$10-'1 Inputs'!$B$11-'1 Inputs'!$B$12</f>
        <v/>
      </c>
      <c r="F41" s="8">
        <f>IF(E41&gt;0,"positive before fixed cost","does not cover variable cost")</f>
        <v/>
      </c>
    </row>
    <row r="42">
      <c r="A42" s="8" t="inlineStr">
        <is>
          <t>30% non-grocery basket</t>
        </is>
      </c>
      <c r="B42" s="13" t="n">
        <v>729.383462929356</v>
      </c>
      <c r="C42" s="16" t="n">
        <v>0</v>
      </c>
      <c r="D42" s="13">
        <f>(1-C42)*'1 Inputs'!$B$27+C42*'1 Inputs'!$B$28</f>
        <v/>
      </c>
      <c r="E42" s="13">
        <f>'1 Inputs'!$B$8*B42-D42-'1 Inputs'!$B$10-'1 Inputs'!$B$11-'1 Inputs'!$B$12</f>
        <v/>
      </c>
      <c r="F42" s="8">
        <f>IF(E42&gt;0,"positive before fixed cost","does not cover variable cost")</f>
        <v/>
      </c>
    </row>
    <row r="43">
      <c r="A43" s="8" t="inlineStr">
        <is>
          <t>30% non-grocery basket</t>
        </is>
      </c>
      <c r="B43" s="13" t="n">
        <v>729.383462929356</v>
      </c>
      <c r="C43" s="16" t="n">
        <v>0.5</v>
      </c>
      <c r="D43" s="13">
        <f>(1-C43)*'1 Inputs'!$B$27+C43*'1 Inputs'!$B$28</f>
        <v/>
      </c>
      <c r="E43" s="13">
        <f>'1 Inputs'!$B$8*B43-D43-'1 Inputs'!$B$10-'1 Inputs'!$B$11-'1 Inputs'!$B$12</f>
        <v/>
      </c>
      <c r="F43" s="8">
        <f>IF(E43&gt;0,"positive before fixed cost","does not cover variable cost")</f>
        <v/>
      </c>
    </row>
    <row r="44">
      <c r="A44" s="8" t="inlineStr">
        <is>
          <t>30% non-grocery basket</t>
        </is>
      </c>
      <c r="B44" s="13" t="n">
        <v>729.383462929356</v>
      </c>
      <c r="C44" s="16" t="n">
        <v>1</v>
      </c>
      <c r="D44" s="13">
        <f>(1-C44)*'1 Inputs'!$B$27+C44*'1 Inputs'!$B$28</f>
        <v/>
      </c>
      <c r="E44" s="13">
        <f>'1 Inputs'!$B$8*B44-D44-'1 Inputs'!$B$10-'1 Inputs'!$B$11-'1 Inputs'!$B$12</f>
        <v/>
      </c>
      <c r="F44" s="8">
        <f>IF(E44&gt;0,"positive before fixed cost","does not cover variable cost")</f>
        <v/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2026-08-30T16:08:59Z</dcterms:created>
  <dcterms:modified xmlns:dcterms="http://purl.org/dc/terms/" xmlns:xsi="http://www.w3.org/2001/XMLSchema-instance" xsi:type="dcterms:W3CDTF">2026-08-30T16:08:59Z</dcterms:modified>
</cp:coreProperties>
</file>